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07881e718547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lculator" sheetId="1" r:id="R9c390cdc52fa4ba7"/>
    <x:sheet xmlns:r="http://schemas.openxmlformats.org/officeDocument/2006/relationships" name="Deal log" sheetId="2" r:id="R078532eec230453c"/>
    <x:sheet xmlns:r="http://schemas.openxmlformats.org/officeDocument/2006/relationships" name="Quote lines" sheetId="3" r:id="Re36a139054964fc2"/>
    <x:sheet xmlns:r="http://schemas.openxmlformats.org/officeDocument/2006/relationships" name="Definitions" sheetId="4" r:id="R230db1bf2680441a"/>
    <x:sheet xmlns:r="http://schemas.openxmlformats.org/officeDocument/2006/relationships" name="Worked example" sheetId="5" r:id="Rf892603419fc42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#,##0.00"/>
    <x:numFmt numFmtId="201" formatCode="0.00"/>
    <x:numFmt numFmtId="202" formatCode="0.0%"/>
    <x:numFmt numFmtId="203" formatCode="@"/>
    <x:numFmt numFmtId="204" formatCode="yyyy-mm-dd"/>
    <x:numFmt numFmtId="205" formatCode="€#,##0.00"/>
    <x:numFmt numFmtId="206" formatCode="0.0"/>
  </x:numFmts>
  <x:fonts count="7">
    <x:font>
      <x:sz val="11"/>
      <x:name val="Carlito"/>
    </x:font>
    <x:font>
      <x:b/>
      <x:sz val="11"/>
      <x:color rgb="FFFFFFFF"/>
      <x:name val="Carlito"/>
    </x:font>
    <x:font>
      <x:b/>
      <x:sz val="11"/>
      <x:color rgb="FF0F172A"/>
      <x:name val="Carlito"/>
    </x:font>
    <x:font>
      <x:i/>
      <x:sz val="11"/>
      <x:color rgb="FF475569"/>
      <x:name val="Carlito"/>
    </x:font>
    <x:font>
      <x:sz val="11"/>
      <x:color rgb="FF0F172A"/>
      <x:name val="Carlito"/>
    </x:font>
    <x:font>
      <x:sz val="11"/>
      <x:color rgb="FF5B21B6"/>
      <x:name val="Carlito"/>
    </x:font>
    <x:font>
      <x:b/>
      <x:sz val="11"/>
      <x:color rgb="FFB91C1C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0B0F1F"/>
      </x:patternFill>
    </x:fill>
    <x:fill>
      <x:patternFill patternType="solid">
        <x:fgColor rgb="FFF8FAFC"/>
      </x:patternFill>
    </x:fill>
    <x:fill>
      <x:patternFill patternType="solid">
        <x:fgColor rgb="FFFFFFFF"/>
      </x:patternFill>
    </x:fill>
    <x:fill>
      <x:patternFill patternType="solid">
        <x:fgColor rgb="FF5B21B6"/>
      </x:patternFill>
    </x:fill>
    <x:fill>
      <x:patternFill patternType="solid">
        <x:fgColor rgb="FFECFEFF"/>
      </x:patternFill>
    </x:fill>
    <x:fill>
      <x:patternFill patternType="solid">
        <x:fgColor rgb="FF1B2440"/>
      </x:patternFill>
    </x:fill>
    <x:fill>
      <x:patternFill patternType="solid">
        <x:fgColor rgb="FFF3E8FF"/>
      </x:patternFill>
    </x:fill>
    <x:fill>
      <x:patternFill patternType="solid">
        <x:fgColor rgb="FFFEE2E2"/>
      </x:patternFill>
    </x:fill>
    <x:fill>
      <x:patternFill patternType="solid">
        <x:fgColor rgb="FFFFFFFF"/>
      </x:patternFill>
    </x:fill>
    <x:fill>
      <x:patternFill patternType="solid">
        <x:fgColor rgb="FF5B21B6"/>
      </x:patternFill>
    </x:fill>
    <x:fill>
      <x:patternFill patternType="solid">
        <x:fgColor rgb="FFFFFFFF"/>
      </x:patternFill>
    </x:fill>
    <x:fill>
      <x:patternFill patternType="solid">
        <x:fgColor rgb="FFECFEFF"/>
      </x:patternFill>
    </x:fill>
  </x:fills>
  <x:borders count="32">
    <x:border/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</x:border>
    <x:border>
      <x:left style="thin">
        <x:color rgb="FFCBD5E1"/>
      </x:left>
      <x:right style="thin">
        <x:color rgb="FFCBD5E1"/>
      </x:right>
    </x:border>
    <x:border>
      <x:left style="thin">
        <x:color rgb="FFCBD5E1"/>
      </x:left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</x:border>
    <x:border>
      <x:left style="thin">
        <x:color rgb="FFCBD5E1"/>
      </x:left>
      <x:right style="thin">
        <x:color rgb="FFCBD5E1"/>
      </x:right>
    </x:border>
    <x:border>
      <x:left style="thin">
        <x:color rgb="FFCBD5E1"/>
      </x:left>
      <x:right style="thin">
        <x:color rgb="FFCBD5E1"/>
      </x:right>
      <x:bottom style="thin">
        <x:color rgb="FFCBD5E1"/>
      </x:bottom>
    </x:border>
  </x:borders>
  <x:cellStyleXfs count="1">
    <x:xf numFmtId="0" fontId="0" fillId="0" borderId="0"/>
  </x:cellStyleXfs>
  <x:cellXfs count="5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left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left" wrapText="1"/>
    </x:xf>
    <x:xf numFmtId="0" fontId="3" fillId="4" borderId="0" xfId="0" applyNumberFormat="1" applyFont="1" applyFill="1" applyBorder="1" applyAlignment="1">
      <x:alignment horizontal="left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left" wrapText="1"/>
    </x:xf>
    <x:xf numFmtId="0" fontId="3" fillId="4" borderId="1" xfId="0" applyNumberFormat="1" applyFont="1" applyFill="1" applyBorder="1" applyAlignment="1">
      <x:alignment horizontal="left"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left"/>
    </x:xf>
    <x:xf numFmtId="0" fontId="1" fillId="5" borderId="0" xfId="0" applyNumberFormat="1" applyFont="1" applyFill="1" applyBorder="1" applyAlignment="1">
      <x:alignment horizontal="left" vertical="center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horizontal="left"/>
    </x:xf>
    <x:xf numFmtId="0" fontId="1" fillId="5" borderId="1" xfId="0" applyNumberFormat="1" applyFont="1" applyFill="1" applyBorder="1" applyAlignment="1">
      <x:alignment horizontal="left" vertical="center"/>
    </x:xf>
    <x:xf numFmtId="0" fontId="4" fillId="4" borderId="0" xfId="0" applyNumberFormat="1" applyFont="1" applyFill="1" applyBorder="1"/>
    <x:xf numFmtId="0" fontId="4" fillId="4" borderId="2" xfId="0" applyNumberFormat="1" applyFont="1" applyFill="1" applyBorder="1"/>
    <x:xf numFmtId="0" fontId="4" fillId="4" borderId="2" xfId="0" applyNumberFormat="1" applyFont="1" applyFill="1" applyBorder="1" applyAlignment="1">
      <x:alignment vertical="center"/>
    </x:xf>
    <x:xf numFmtId="0" fontId="4" fillId="4" borderId="1" xfId="0" applyNumberFormat="1" applyFont="1" applyFill="1" applyBorder="1"/>
    <x:xf numFmtId="0" fontId="4" fillId="4" borderId="3" xfId="0" applyNumberFormat="1" applyFont="1" applyFill="1" applyBorder="1"/>
    <x:xf numFmtId="0" fontId="4" fillId="4" borderId="3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4" xfId="0" applyNumberFormat="1" applyFont="1" applyFill="1" applyBorder="1"/>
    <x:xf numFmtId="0" fontId="4" fillId="6" borderId="5" xfId="0" applyNumberFormat="1" applyFont="1" applyFill="1" applyBorder="1"/>
    <x:xf numFmtId="0" fontId="4" fillId="6" borderId="6" xfId="0" applyNumberFormat="1" applyFont="1" applyFill="1" applyBorder="1"/>
    <x:xf numFmtId="0" fontId="4" fillId="6" borderId="4" xfId="0" applyNumberFormat="1" applyFont="1" applyFill="1" applyBorder="1" applyAlignment="1">
      <x:alignment wrapText="1"/>
    </x:xf>
    <x:xf numFmtId="0" fontId="4" fillId="6" borderId="5" xfId="0" applyNumberFormat="1" applyFont="1" applyFill="1" applyBorder="1" applyAlignment="1">
      <x:alignment wrapText="1"/>
    </x:xf>
    <x:xf numFmtId="0" fontId="4" fillId="6" borderId="6" xfId="0" applyNumberFormat="1" applyFont="1" applyFill="1" applyBorder="1" applyAlignment="1">
      <x:alignment wrapText="1"/>
    </x:xf>
    <x:xf numFmtId="0" fontId="4" fillId="6" borderId="4" xfId="0" applyNumberFormat="1" applyFont="1" applyFill="1" applyBorder="1" applyAlignment="1">
      <x:alignment vertical="center" wrapText="1"/>
    </x:xf>
    <x:xf numFmtId="0" fontId="4" fillId="6" borderId="5" xfId="0" applyNumberFormat="1" applyFont="1" applyFill="1" applyBorder="1" applyAlignment="1">
      <x:alignment vertical="center" wrapText="1"/>
    </x:xf>
    <x:xf numFmtId="0" fontId="4" fillId="6" borderId="6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4" fillId="6" borderId="7" xfId="0" applyNumberFormat="1" applyFont="1" applyFill="1" applyBorder="1"/>
    <x:xf numFmtId="0" fontId="4" fillId="6" borderId="8" xfId="0" applyNumberFormat="1" applyFont="1" applyFill="1" applyBorder="1"/>
    <x:xf numFmtId="0" fontId="4" fillId="6" borderId="9" xfId="0" applyNumberFormat="1" applyFont="1" applyFill="1" applyBorder="1"/>
    <x:xf numFmtId="0" fontId="4" fillId="6" borderId="7" xfId="0" applyNumberFormat="1" applyFont="1" applyFill="1" applyBorder="1" applyAlignment="1">
      <x:alignment wrapText="1"/>
    </x:xf>
    <x:xf numFmtId="0" fontId="4" fillId="6" borderId="8" xfId="0" applyNumberFormat="1" applyFont="1" applyFill="1" applyBorder="1" applyAlignment="1">
      <x:alignment wrapText="1"/>
    </x:xf>
    <x:xf numFmtId="0" fontId="4" fillId="6" borderId="9" xfId="0" applyNumberFormat="1" applyFont="1" applyFill="1" applyBorder="1" applyAlignment="1">
      <x:alignment wrapText="1"/>
    </x:xf>
    <x:xf numFmtId="0" fontId="4" fillId="6" borderId="7" xfId="0" applyNumberFormat="1" applyFont="1" applyFill="1" applyBorder="1" applyAlignment="1">
      <x:alignment vertical="center" wrapText="1"/>
    </x:xf>
    <x:xf numFmtId="0" fontId="4" fillId="6" borderId="8" xfId="0" applyNumberFormat="1" applyFont="1" applyFill="1" applyBorder="1" applyAlignment="1">
      <x:alignment vertical="center" wrapText="1"/>
    </x:xf>
    <x:xf numFmtId="0" fontId="4" fillId="6" borderId="9" xfId="0" applyNumberFormat="1" applyFont="1" applyFill="1" applyBorder="1" applyAlignment="1">
      <x:alignment vertical="center" wrapText="1"/>
    </x:xf>
    <x:xf numFmtId="200" fontId="4" fillId="4" borderId="2" xfId="0" applyNumberFormat="1" applyFont="1" applyFill="1" applyBorder="1" applyAlignment="1">
      <x:alignment vertical="center"/>
    </x:xf>
    <x:xf numFmtId="200" fontId="4" fillId="4" borderId="3" xfId="0" applyNumberFormat="1" applyFont="1" applyFill="1" applyBorder="1" applyAlignment="1">
      <x:alignment vertical="center"/>
    </x:xf>
    <x:xf numFmtId="201" fontId="4" fillId="4" borderId="2" xfId="0" applyNumberFormat="1" applyFont="1" applyFill="1" applyBorder="1" applyAlignment="1">
      <x:alignment vertical="center"/>
    </x:xf>
    <x:xf numFmtId="201" fontId="4" fillId="4" borderId="3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4" xfId="0" applyNumberFormat="1" applyFont="1" applyFill="1" applyBorder="1"/>
    <x:xf numFmtId="0" fontId="1" fillId="7" borderId="5" xfId="0" applyNumberFormat="1" applyFont="1" applyFill="1" applyBorder="1"/>
    <x:xf numFmtId="0" fontId="1" fillId="7" borderId="6" xfId="0" applyNumberFormat="1" applyFont="1" applyFill="1" applyBorder="1"/>
    <x:xf numFmtId="0" fontId="1" fillId="7" borderId="4" xfId="0" applyNumberFormat="1" applyFont="1" applyFill="1" applyBorder="1" applyAlignment="1">
      <x:alignment wrapText="1"/>
    </x:xf>
    <x:xf numFmtId="0" fontId="1" fillId="7" borderId="5" xfId="0" applyNumberFormat="1" applyFont="1" applyFill="1" applyBorder="1" applyAlignment="1">
      <x:alignment wrapText="1"/>
    </x:xf>
    <x:xf numFmtId="0" fontId="1" fillId="7" borderId="6" xfId="0" applyNumberFormat="1" applyFont="1" applyFill="1" applyBorder="1" applyAlignment="1">
      <x:alignment wrapText="1"/>
    </x:xf>
    <x:xf numFmtId="0" fontId="1" fillId="7" borderId="4" xfId="0" applyNumberFormat="1" applyFont="1" applyFill="1" applyBorder="1" applyAlignment="1">
      <x:alignment horizontal="center" wrapText="1"/>
    </x:xf>
    <x:xf numFmtId="0" fontId="1" fillId="7" borderId="5" xfId="0" applyNumberFormat="1" applyFont="1" applyFill="1" applyBorder="1" applyAlignment="1">
      <x:alignment horizontal="center" wrapText="1"/>
    </x:xf>
    <x:xf numFmtId="0" fontId="1" fillId="7" borderId="6" xfId="0" applyNumberFormat="1" applyFont="1" applyFill="1" applyBorder="1" applyAlignment="1">
      <x:alignment horizontal="center" wrapText="1"/>
    </x:xf>
    <x:xf numFmtId="0" fontId="1" fillId="7" borderId="4" xfId="0" applyNumberFormat="1" applyFont="1" applyFill="1" applyBorder="1" applyAlignment="1">
      <x:alignment horizontal="center" vertical="center" wrapText="1"/>
    </x:xf>
    <x:xf numFmtId="0" fontId="1" fillId="7" borderId="5" xfId="0" applyNumberFormat="1" applyFont="1" applyFill="1" applyBorder="1" applyAlignment="1">
      <x:alignment horizontal="center" vertical="center" wrapText="1"/>
    </x:xf>
    <x:xf numFmtId="0" fontId="1" fillId="7" borderId="6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/>
    <x:xf numFmtId="0" fontId="1" fillId="7" borderId="1" xfId="0" applyNumberFormat="1" applyFont="1" applyFill="1" applyBorder="1"/>
    <x:xf numFmtId="0" fontId="1" fillId="7" borderId="7" xfId="0" applyNumberFormat="1" applyFont="1" applyFill="1" applyBorder="1"/>
    <x:xf numFmtId="0" fontId="1" fillId="7" borderId="8" xfId="0" applyNumberFormat="1" applyFont="1" applyFill="1" applyBorder="1"/>
    <x:xf numFmtId="0" fontId="1" fillId="7" borderId="9" xfId="0" applyNumberFormat="1" applyFont="1" applyFill="1" applyBorder="1"/>
    <x:xf numFmtId="0" fontId="1" fillId="7" borderId="7" xfId="0" applyNumberFormat="1" applyFont="1" applyFill="1" applyBorder="1" applyAlignment="1">
      <x:alignment wrapText="1"/>
    </x:xf>
    <x:xf numFmtId="0" fontId="1" fillId="7" borderId="8" xfId="0" applyNumberFormat="1" applyFont="1" applyFill="1" applyBorder="1" applyAlignment="1">
      <x:alignment wrapText="1"/>
    </x:xf>
    <x:xf numFmtId="0" fontId="1" fillId="7" borderId="9" xfId="0" applyNumberFormat="1" applyFont="1" applyFill="1" applyBorder="1" applyAlignment="1">
      <x:alignment wrapText="1"/>
    </x:xf>
    <x:xf numFmtId="0" fontId="1" fillId="7" borderId="7" xfId="0" applyNumberFormat="1" applyFont="1" applyFill="1" applyBorder="1" applyAlignment="1">
      <x:alignment horizontal="center" wrapText="1"/>
    </x:xf>
    <x:xf numFmtId="0" fontId="1" fillId="7" borderId="8" xfId="0" applyNumberFormat="1" applyFont="1" applyFill="1" applyBorder="1" applyAlignment="1">
      <x:alignment horizontal="center" wrapText="1"/>
    </x:xf>
    <x:xf numFmtId="0" fontId="1" fillId="7" borderId="9" xfId="0" applyNumberFormat="1" applyFont="1" applyFill="1" applyBorder="1" applyAlignment="1">
      <x:alignment horizontal="center" wrapText="1"/>
    </x:xf>
    <x:xf numFmtId="0" fontId="1" fillId="7" borderId="7" xfId="0" applyNumberFormat="1" applyFont="1" applyFill="1" applyBorder="1" applyAlignment="1">
      <x:alignment horizontal="center" vertical="center" wrapText="1"/>
    </x:xf>
    <x:xf numFmtId="0" fontId="1" fillId="7" borderId="8" xfId="0" applyNumberFormat="1" applyFont="1" applyFill="1" applyBorder="1" applyAlignment="1">
      <x:alignment horizontal="center" vertical="center" wrapText="1"/>
    </x:xf>
    <x:xf numFmtId="0" fontId="1" fillId="7" borderId="9" xfId="0" applyNumberFormat="1" applyFont="1" applyFill="1" applyBorder="1" applyAlignment="1">
      <x:alignment horizontal="center" vertical="center" wrapText="1"/>
    </x:xf>
    <x:xf numFmtId="0" fontId="4" fillId="4" borderId="4" xfId="0" applyNumberFormat="1" applyFont="1" applyFill="1" applyBorder="1"/>
    <x:xf numFmtId="0" fontId="4" fillId="4" borderId="6" xfId="0" applyNumberFormat="1" applyFont="1" applyFill="1" applyBorder="1"/>
    <x:xf numFmtId="0" fontId="4" fillId="4" borderId="4" xfId="0" applyNumberFormat="1" applyFont="1" applyFill="1" applyBorder="1" applyAlignment="1">
      <x:alignment vertical="center"/>
    </x:xf>
    <x:xf numFmtId="0" fontId="4" fillId="4" borderId="6" xfId="0" applyNumberFormat="1" applyFont="1" applyFill="1" applyBorder="1" applyAlignment="1">
      <x:alignment vertical="center"/>
    </x:xf>
    <x:xf numFmtId="0" fontId="4" fillId="4" borderId="7" xfId="0" applyNumberFormat="1" applyFont="1" applyFill="1" applyBorder="1"/>
    <x:xf numFmtId="0" fontId="4" fillId="4" borderId="9" xfId="0" applyNumberFormat="1" applyFont="1" applyFill="1" applyBorder="1"/>
    <x:xf numFmtId="0" fontId="4" fillId="4" borderId="7" xfId="0" applyNumberFormat="1" applyFont="1" applyFill="1" applyBorder="1" applyAlignment="1">
      <x:alignment vertical="center"/>
    </x:xf>
    <x:xf numFmtId="0" fontId="4" fillId="4" borderId="9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2" xfId="0" applyNumberFormat="1" applyFont="1" applyFill="1" applyBorder="1"/>
    <x:xf numFmtId="0" fontId="4" fillId="8" borderId="2" xfId="0" applyNumberFormat="1" applyFont="1" applyFill="1" applyBorder="1" applyAlignment="1">
      <x:alignment vertical="center"/>
    </x:xf>
    <x:xf numFmtId="0" fontId="0" fillId="8" borderId="1" xfId="0" applyNumberFormat="1" applyFont="1" applyFill="1" applyBorder="1"/>
    <x:xf numFmtId="0" fontId="4" fillId="8" borderId="1" xfId="0" applyNumberFormat="1" applyFont="1" applyFill="1" applyBorder="1"/>
    <x:xf numFmtId="0" fontId="4" fillId="8" borderId="3" xfId="0" applyNumberFormat="1" applyFont="1" applyFill="1" applyBorder="1"/>
    <x:xf numFmtId="0" fontId="4" fillId="8" borderId="3" xfId="0" applyNumberFormat="1" applyFont="1" applyFill="1" applyBorder="1" applyAlignment="1">
      <x:alignment vertical="center"/>
    </x:xf>
    <x:xf numFmtId="200" fontId="4" fillId="4" borderId="6" xfId="0" applyNumberFormat="1" applyFont="1" applyFill="1" applyBorder="1" applyAlignment="1">
      <x:alignment vertical="center"/>
    </x:xf>
    <x:xf numFmtId="200" fontId="4" fillId="4" borderId="9" xfId="0" applyNumberFormat="1" applyFont="1" applyFill="1" applyBorder="1" applyAlignment="1">
      <x:alignment vertical="center"/>
    </x:xf>
    <x:xf numFmtId="200" fontId="4" fillId="8" borderId="2" xfId="0" applyNumberFormat="1" applyFont="1" applyFill="1" applyBorder="1" applyAlignment="1">
      <x:alignment vertical="center"/>
    </x:xf>
    <x:xf numFmtId="200" fontId="4" fillId="8" borderId="3" xfId="0" applyNumberFormat="1" applyFont="1" applyFill="1" applyBorder="1" applyAlignment="1">
      <x:alignment vertical="center"/>
    </x:xf>
    <x:xf numFmtId="202" fontId="4" fillId="4" borderId="2" xfId="0" applyNumberFormat="1" applyFont="1" applyFill="1" applyBorder="1" applyAlignment="1">
      <x:alignment vertical="center"/>
    </x:xf>
    <x:xf numFmtId="202" fontId="4" fillId="4" borderId="3" xfId="0" applyNumberFormat="1" applyFont="1" applyFill="1" applyBorder="1" applyAlignment="1">
      <x:alignment vertical="center"/>
    </x:xf>
    <x:xf numFmtId="0" fontId="4" fillId="4" borderId="5" xfId="0" applyNumberFormat="1" applyFont="1" applyFill="1" applyBorder="1"/>
    <x:xf numFmtId="0" fontId="4" fillId="4" borderId="5" xfId="0" applyNumberFormat="1" applyFont="1" applyFill="1" applyBorder="1" applyAlignment="1">
      <x:alignment vertical="center"/>
    </x:xf>
    <x:xf numFmtId="0" fontId="4" fillId="4" borderId="8" xfId="0" applyNumberFormat="1" applyFont="1" applyFill="1" applyBorder="1"/>
    <x:xf numFmtId="0" fontId="4" fillId="4" borderId="8" xfId="0" applyNumberFormat="1" applyFont="1" applyFill="1" applyBorder="1" applyAlignment="1">
      <x:alignment vertical="center"/>
    </x:xf>
    <x:xf numFmtId="0" fontId="4" fillId="8" borderId="4" xfId="0" applyNumberFormat="1" applyFont="1" applyFill="1" applyBorder="1"/>
    <x:xf numFmtId="0" fontId="4" fillId="8" borderId="5" xfId="0" applyNumberFormat="1" applyFont="1" applyFill="1" applyBorder="1"/>
    <x:xf numFmtId="0" fontId="4" fillId="8" borderId="6" xfId="0" applyNumberFormat="1" applyFont="1" applyFill="1" applyBorder="1"/>
    <x:xf numFmtId="0" fontId="4" fillId="8" borderId="4" xfId="0" applyNumberFormat="1" applyFont="1" applyFill="1" applyBorder="1" applyAlignment="1">
      <x:alignment vertical="center"/>
    </x:xf>
    <x:xf numFmtId="0" fontId="4" fillId="8" borderId="5" xfId="0" applyNumberFormat="1" applyFont="1" applyFill="1" applyBorder="1" applyAlignment="1">
      <x:alignment vertical="center"/>
    </x:xf>
    <x:xf numFmtId="0" fontId="4" fillId="8" borderId="6" xfId="0" applyNumberFormat="1" applyFont="1" applyFill="1" applyBorder="1" applyAlignment="1">
      <x:alignment vertical="center"/>
    </x:xf>
    <x:xf numFmtId="0" fontId="4" fillId="8" borderId="7" xfId="0" applyNumberFormat="1" applyFont="1" applyFill="1" applyBorder="1"/>
    <x:xf numFmtId="0" fontId="4" fillId="8" borderId="8" xfId="0" applyNumberFormat="1" applyFont="1" applyFill="1" applyBorder="1"/>
    <x:xf numFmtId="0" fontId="4" fillId="8" borderId="9" xfId="0" applyNumberFormat="1" applyFont="1" applyFill="1" applyBorder="1"/>
    <x:xf numFmtId="0" fontId="4" fillId="8" borderId="7" xfId="0" applyNumberFormat="1" applyFont="1" applyFill="1" applyBorder="1" applyAlignment="1">
      <x:alignment vertical="center"/>
    </x:xf>
    <x:xf numFmtId="0" fontId="4" fillId="8" borderId="8" xfId="0" applyNumberFormat="1" applyFont="1" applyFill="1" applyBorder="1" applyAlignment="1">
      <x:alignment vertical="center"/>
    </x:xf>
    <x:xf numFmtId="0" fontId="4" fillId="8" borderId="9" xfId="0" applyNumberFormat="1" applyFont="1" applyFill="1" applyBorder="1" applyAlignment="1">
      <x:alignment vertical="center"/>
    </x:xf>
    <x:xf numFmtId="200" fontId="4" fillId="8" borderId="4" xfId="0" applyNumberFormat="1" applyFont="1" applyFill="1" applyBorder="1" applyAlignment="1">
      <x:alignment vertical="center"/>
    </x:xf>
    <x:xf numFmtId="200" fontId="4" fillId="8" borderId="7" xfId="0" applyNumberFormat="1" applyFont="1" applyFill="1" applyBorder="1" applyAlignment="1">
      <x:alignment vertical="center"/>
    </x:xf>
    <x:xf numFmtId="202" fontId="4" fillId="8" borderId="4" xfId="0" applyNumberFormat="1" applyFont="1" applyFill="1" applyBorder="1" applyAlignment="1">
      <x:alignment vertical="center"/>
    </x:xf>
    <x:xf numFmtId="202" fontId="4" fillId="8" borderId="7" xfId="0" applyNumberFormat="1" applyFont="1" applyFill="1" applyBorder="1" applyAlignment="1">
      <x:alignment vertical="center"/>
    </x:xf>
    <x:xf numFmtId="0" fontId="4" fillId="8" borderId="4" xfId="0" applyNumberFormat="1" applyFont="1" applyFill="1" applyBorder="1" applyAlignment="1">
      <x:alignment vertical="center" wrapText="1"/>
    </x:xf>
    <x:xf numFmtId="0" fontId="4" fillId="8" borderId="5" xfId="0" applyNumberFormat="1" applyFont="1" applyFill="1" applyBorder="1" applyAlignment="1">
      <x:alignment vertical="center" wrapText="1"/>
    </x:xf>
    <x:xf numFmtId="0" fontId="4" fillId="8" borderId="6" xfId="0" applyNumberFormat="1" applyFont="1" applyFill="1" applyBorder="1" applyAlignment="1">
      <x:alignment vertical="center" wrapText="1"/>
    </x:xf>
    <x:xf numFmtId="0" fontId="4" fillId="8" borderId="7" xfId="0" applyNumberFormat="1" applyFont="1" applyFill="1" applyBorder="1" applyAlignment="1">
      <x:alignment vertical="center" wrapText="1"/>
    </x:xf>
    <x:xf numFmtId="0" fontId="4" fillId="8" borderId="8" xfId="0" applyNumberFormat="1" applyFont="1" applyFill="1" applyBorder="1" applyAlignment="1">
      <x:alignment vertical="center" wrapText="1"/>
    </x:xf>
    <x:xf numFmtId="0" fontId="4" fillId="8" borderId="9" xfId="0" applyNumberFormat="1" applyFont="1" applyFill="1" applyBorder="1" applyAlignment="1">
      <x:alignment vertical="center" wrapText="1"/>
    </x:xf>
    <x:xf numFmtId="202" fontId="4" fillId="8" borderId="5" xfId="0" applyNumberFormat="1" applyFont="1" applyFill="1" applyBorder="1" applyAlignment="1">
      <x:alignment vertical="center"/>
    </x:xf>
    <x:xf numFmtId="202" fontId="4" fillId="8" borderId="6" xfId="0" applyNumberFormat="1" applyFont="1" applyFill="1" applyBorder="1" applyAlignment="1">
      <x:alignment vertical="center"/>
    </x:xf>
    <x:xf numFmtId="202" fontId="4" fillId="8" borderId="8" xfId="0" applyNumberFormat="1" applyFont="1" applyFill="1" applyBorder="1" applyAlignment="1">
      <x:alignment vertical="center"/>
    </x:xf>
    <x:xf numFmtId="202" fontId="4" fillId="8" borderId="9" xfId="0" applyNumberFormat="1" applyFont="1" applyFill="1" applyBorder="1" applyAlignment="1">
      <x:alignment vertical="center"/>
    </x:xf>
    <x:xf numFmtId="203" fontId="4" fillId="8" borderId="4" xfId="0" applyNumberFormat="1" applyFont="1" applyFill="1" applyBorder="1" applyAlignment="1">
      <x:alignment vertical="center"/>
    </x:xf>
    <x:xf numFmtId="203" fontId="4" fillId="8" borderId="5" xfId="0" applyNumberFormat="1" applyFont="1" applyFill="1" applyBorder="1" applyAlignment="1">
      <x:alignment vertical="center"/>
    </x:xf>
    <x:xf numFmtId="203" fontId="4" fillId="8" borderId="6" xfId="0" applyNumberFormat="1" applyFont="1" applyFill="1" applyBorder="1" applyAlignment="1">
      <x:alignment vertical="center"/>
    </x:xf>
    <x:xf numFmtId="203" fontId="4" fillId="8" borderId="7" xfId="0" applyNumberFormat="1" applyFont="1" applyFill="1" applyBorder="1" applyAlignment="1">
      <x:alignment vertical="center"/>
    </x:xf>
    <x:xf numFmtId="203" fontId="4" fillId="8" borderId="8" xfId="0" applyNumberFormat="1" applyFont="1" applyFill="1" applyBorder="1" applyAlignment="1">
      <x:alignment vertical="center"/>
    </x:xf>
    <x:xf numFmtId="203" fontId="4" fillId="8" borderId="9" xfId="0" applyNumberFormat="1" applyFont="1" applyFill="1" applyBorder="1" applyAlignment="1">
      <x:alignment vertical="center"/>
    </x:xf>
    <x:xf numFmtId="200" fontId="4" fillId="4" borderId="5" xfId="0" applyNumberFormat="1" applyFont="1" applyFill="1" applyBorder="1" applyAlignment="1">
      <x:alignment vertical="center"/>
    </x:xf>
    <x:xf numFmtId="200" fontId="4" fillId="4" borderId="8" xfId="0" applyNumberFormat="1" applyFont="1" applyFill="1" applyBorder="1" applyAlignment="1">
      <x:alignment vertical="center"/>
    </x:xf>
    <x:xf numFmtId="200" fontId="4" fillId="8" borderId="5" xfId="0" applyNumberFormat="1" applyFont="1" applyFill="1" applyBorder="1" applyAlignment="1">
      <x:alignment vertical="center"/>
    </x:xf>
    <x:xf numFmtId="200" fontId="4" fillId="8" borderId="8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vertical="center"/>
    </x:xf>
    <x:xf numFmtId="0" fontId="5" fillId="4" borderId="1" xfId="0" applyNumberFormat="1" applyFont="1" applyFill="1" applyBorder="1"/>
    <x:xf numFmtId="0" fontId="5" fillId="4" borderId="1" xfId="0" applyNumberFormat="1" applyFont="1" applyFill="1" applyBorder="1" applyAlignment="1">
      <x:alignment vertical="center"/>
    </x:xf>
    <x:xf numFmtId="0" fontId="4" fillId="4" borderId="10" xfId="0" applyNumberFormat="1" applyFont="1" applyFill="1" applyBorder="1"/>
    <x:xf numFmtId="0" fontId="4" fillId="4" borderId="11" xfId="0" applyNumberFormat="1" applyFont="1" applyFill="1" applyBorder="1"/>
    <x:xf numFmtId="0" fontId="4" fillId="4" borderId="12" xfId="0" applyNumberFormat="1" applyFont="1" applyFill="1" applyBorder="1"/>
    <x:xf numFmtId="0" fontId="4" fillId="4" borderId="13" xfId="0" applyNumberFormat="1" applyFont="1" applyFill="1" applyBorder="1"/>
    <x:xf numFmtId="0" fontId="4" fillId="4" borderId="14" xfId="0" applyNumberFormat="1" applyFont="1" applyFill="1" applyBorder="1"/>
    <x:xf numFmtId="0" fontId="4" fillId="4" borderId="15" xfId="0" applyNumberFormat="1" applyFont="1" applyFill="1" applyBorder="1"/>
    <x:xf numFmtId="0" fontId="4" fillId="4" borderId="16" xfId="0" applyNumberFormat="1" applyFont="1" applyFill="1" applyBorder="1"/>
    <x:xf numFmtId="0" fontId="4" fillId="4" borderId="17" xfId="0" applyNumberFormat="1" applyFont="1" applyFill="1" applyBorder="1"/>
    <x:xf numFmtId="0" fontId="4" fillId="4" borderId="10" xfId="0" applyNumberFormat="1" applyFont="1" applyFill="1" applyBorder="1" applyAlignment="1">
      <x:alignment vertical="center"/>
    </x:xf>
    <x:xf numFmtId="0" fontId="4" fillId="4" borderId="11" xfId="0" applyNumberFormat="1" applyFont="1" applyFill="1" applyBorder="1" applyAlignment="1">
      <x:alignment vertical="center"/>
    </x:xf>
    <x:xf numFmtId="0" fontId="4" fillId="4" borderId="12" xfId="0" applyNumberFormat="1" applyFont="1" applyFill="1" applyBorder="1" applyAlignment="1">
      <x:alignment vertical="center"/>
    </x:xf>
    <x:xf numFmtId="0" fontId="4" fillId="4" borderId="13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4" fillId="4" borderId="14" xfId="0" applyNumberFormat="1" applyFont="1" applyFill="1" applyBorder="1" applyAlignment="1">
      <x:alignment vertical="center"/>
    </x:xf>
    <x:xf numFmtId="0" fontId="4" fillId="4" borderId="15" xfId="0" applyNumberFormat="1" applyFont="1" applyFill="1" applyBorder="1" applyAlignment="1">
      <x:alignment vertical="center"/>
    </x:xf>
    <x:xf numFmtId="0" fontId="4" fillId="4" borderId="16" xfId="0" applyNumberFormat="1" applyFont="1" applyFill="1" applyBorder="1" applyAlignment="1">
      <x:alignment vertical="center"/>
    </x:xf>
    <x:xf numFmtId="0" fontId="4" fillId="4" borderId="17" xfId="0" applyNumberFormat="1" applyFont="1" applyFill="1" applyBorder="1" applyAlignment="1">
      <x:alignment vertical="center"/>
    </x:xf>
    <x:xf numFmtId="0" fontId="4" fillId="4" borderId="18" xfId="0" applyNumberFormat="1" applyFont="1" applyFill="1" applyBorder="1"/>
    <x:xf numFmtId="0" fontId="4" fillId="4" borderId="19" xfId="0" applyNumberFormat="1" applyFont="1" applyFill="1" applyBorder="1"/>
    <x:xf numFmtId="0" fontId="4" fillId="4" borderId="20" xfId="0" applyNumberFormat="1" applyFont="1" applyFill="1" applyBorder="1"/>
    <x:xf numFmtId="0" fontId="4" fillId="4" borderId="21" xfId="0" applyNumberFormat="1" applyFont="1" applyFill="1" applyBorder="1"/>
    <x:xf numFmtId="0" fontId="4" fillId="4" borderId="22" xfId="0" applyNumberFormat="1" applyFont="1" applyFill="1" applyBorder="1"/>
    <x:xf numFmtId="0" fontId="4" fillId="4" borderId="23" xfId="0" applyNumberFormat="1" applyFont="1" applyFill="1" applyBorder="1"/>
    <x:xf numFmtId="0" fontId="4" fillId="4" borderId="24" xfId="0" applyNumberFormat="1" applyFont="1" applyFill="1" applyBorder="1"/>
    <x:xf numFmtId="0" fontId="4" fillId="4" borderId="25" xfId="0" applyNumberFormat="1" applyFont="1" applyFill="1" applyBorder="1"/>
    <x:xf numFmtId="0" fontId="4" fillId="4" borderId="18" xfId="0" applyNumberFormat="1" applyFont="1" applyFill="1" applyBorder="1" applyAlignment="1">
      <x:alignment vertical="center"/>
    </x:xf>
    <x:xf numFmtId="0" fontId="4" fillId="4" borderId="19" xfId="0" applyNumberFormat="1" applyFont="1" applyFill="1" applyBorder="1" applyAlignment="1">
      <x:alignment vertical="center"/>
    </x:xf>
    <x:xf numFmtId="0" fontId="4" fillId="4" borderId="20" xfId="0" applyNumberFormat="1" applyFont="1" applyFill="1" applyBorder="1" applyAlignment="1">
      <x:alignment vertical="center"/>
    </x:xf>
    <x:xf numFmtId="0" fontId="4" fillId="4" borderId="21" xfId="0" applyNumberFormat="1" applyFont="1" applyFill="1" applyBorder="1" applyAlignment="1">
      <x:alignment vertical="center"/>
    </x:xf>
    <x:xf numFmtId="0" fontId="4" fillId="4" borderId="1" xfId="0" applyNumberFormat="1" applyFont="1" applyFill="1" applyBorder="1" applyAlignment="1">
      <x:alignment vertical="center"/>
    </x:xf>
    <x:xf numFmtId="0" fontId="4" fillId="4" borderId="22" xfId="0" applyNumberFormat="1" applyFont="1" applyFill="1" applyBorder="1" applyAlignment="1">
      <x:alignment vertical="center"/>
    </x:xf>
    <x:xf numFmtId="0" fontId="4" fillId="4" borderId="23" xfId="0" applyNumberFormat="1" applyFont="1" applyFill="1" applyBorder="1" applyAlignment="1">
      <x:alignment vertical="center"/>
    </x:xf>
    <x:xf numFmtId="0" fontId="4" fillId="4" borderId="24" xfId="0" applyNumberFormat="1" applyFont="1" applyFill="1" applyBorder="1" applyAlignment="1">
      <x:alignment vertical="center"/>
    </x:xf>
    <x:xf numFmtId="0" fontId="4" fillId="4" borderId="25" xfId="0" applyNumberFormat="1" applyFont="1" applyFill="1" applyBorder="1" applyAlignment="1">
      <x:alignment vertical="center"/>
    </x:xf>
    <x:xf numFmtId="0" fontId="4" fillId="8" borderId="11" xfId="0" applyNumberFormat="1" applyFont="1" applyFill="1" applyBorder="1" applyAlignment="1">
      <x:alignment vertical="center"/>
    </x:xf>
    <x:xf numFmtId="0" fontId="4" fillId="8" borderId="0" xfId="0" applyNumberFormat="1" applyFont="1" applyFill="1" applyBorder="1" applyAlignment="1">
      <x:alignment vertical="center"/>
    </x:xf>
    <x:xf numFmtId="0" fontId="4" fillId="8" borderId="16" xfId="0" applyNumberFormat="1" applyFont="1" applyFill="1" applyBorder="1" applyAlignment="1">
      <x:alignment vertical="center"/>
    </x:xf>
    <x:xf numFmtId="0" fontId="4" fillId="8" borderId="10" xfId="0" applyNumberFormat="1" applyFont="1" applyFill="1" applyBorder="1" applyAlignment="1">
      <x:alignment vertical="center"/>
    </x:xf>
    <x:xf numFmtId="0" fontId="4" fillId="8" borderId="12" xfId="0" applyNumberFormat="1" applyFont="1" applyFill="1" applyBorder="1" applyAlignment="1">
      <x:alignment vertical="center"/>
    </x:xf>
    <x:xf numFmtId="0" fontId="4" fillId="8" borderId="13" xfId="0" applyNumberFormat="1" applyFont="1" applyFill="1" applyBorder="1" applyAlignment="1">
      <x:alignment vertical="center"/>
    </x:xf>
    <x:xf numFmtId="0" fontId="4" fillId="8" borderId="14" xfId="0" applyNumberFormat="1" applyFont="1" applyFill="1" applyBorder="1" applyAlignment="1">
      <x:alignment vertical="center"/>
    </x:xf>
    <x:xf numFmtId="0" fontId="4" fillId="8" borderId="15" xfId="0" applyNumberFormat="1" applyFont="1" applyFill="1" applyBorder="1" applyAlignment="1">
      <x:alignment vertical="center"/>
    </x:xf>
    <x:xf numFmtId="0" fontId="4" fillId="8" borderId="17" xfId="0" applyNumberFormat="1" applyFont="1" applyFill="1" applyBorder="1" applyAlignment="1">
      <x:alignment vertical="center"/>
    </x:xf>
    <x:xf numFmtId="0" fontId="4" fillId="8" borderId="19" xfId="0" applyNumberFormat="1" applyFont="1" applyFill="1" applyBorder="1" applyAlignment="1">
      <x:alignment vertical="center"/>
    </x:xf>
    <x:xf numFmtId="0" fontId="4" fillId="8" borderId="1" xfId="0" applyNumberFormat="1" applyFont="1" applyFill="1" applyBorder="1" applyAlignment="1">
      <x:alignment vertical="center"/>
    </x:xf>
    <x:xf numFmtId="0" fontId="4" fillId="8" borderId="24" xfId="0" applyNumberFormat="1" applyFont="1" applyFill="1" applyBorder="1" applyAlignment="1">
      <x:alignment vertical="center"/>
    </x:xf>
    <x:xf numFmtId="0" fontId="4" fillId="8" borderId="18" xfId="0" applyNumberFormat="1" applyFont="1" applyFill="1" applyBorder="1" applyAlignment="1">
      <x:alignment vertical="center"/>
    </x:xf>
    <x:xf numFmtId="0" fontId="4" fillId="8" borderId="20" xfId="0" applyNumberFormat="1" applyFont="1" applyFill="1" applyBorder="1" applyAlignment="1">
      <x:alignment vertical="center"/>
    </x:xf>
    <x:xf numFmtId="0" fontId="4" fillId="8" borderId="21" xfId="0" applyNumberFormat="1" applyFont="1" applyFill="1" applyBorder="1" applyAlignment="1">
      <x:alignment vertical="center"/>
    </x:xf>
    <x:xf numFmtId="0" fontId="4" fillId="8" borderId="22" xfId="0" applyNumberFormat="1" applyFont="1" applyFill="1" applyBorder="1" applyAlignment="1">
      <x:alignment vertical="center"/>
    </x:xf>
    <x:xf numFmtId="0" fontId="4" fillId="8" borderId="23" xfId="0" applyNumberFormat="1" applyFont="1" applyFill="1" applyBorder="1" applyAlignment="1">
      <x:alignment vertical="center"/>
    </x:xf>
    <x:xf numFmtId="0" fontId="4" fillId="8" borderId="25" xfId="0" applyNumberFormat="1" applyFont="1" applyFill="1" applyBorder="1" applyAlignment="1">
      <x:alignment vertical="center"/>
    </x:xf>
    <x:xf numFmtId="204" fontId="4" fillId="4" borderId="11" xfId="0" applyNumberFormat="1" applyFont="1" applyFill="1" applyBorder="1" applyAlignment="1">
      <x:alignment vertical="center"/>
    </x:xf>
    <x:xf numFmtId="204" fontId="4" fillId="4" borderId="0" xfId="0" applyNumberFormat="1" applyFont="1" applyFill="1" applyBorder="1" applyAlignment="1">
      <x:alignment vertical="center"/>
    </x:xf>
    <x:xf numFmtId="204" fontId="4" fillId="4" borderId="16" xfId="0" applyNumberFormat="1" applyFont="1" applyFill="1" applyBorder="1" applyAlignment="1">
      <x:alignment vertical="center"/>
    </x:xf>
    <x:xf numFmtId="204" fontId="4" fillId="4" borderId="19" xfId="0" applyNumberFormat="1" applyFont="1" applyFill="1" applyBorder="1" applyAlignment="1">
      <x:alignment vertical="center"/>
    </x:xf>
    <x:xf numFmtId="204" fontId="4" fillId="4" borderId="1" xfId="0" applyNumberFormat="1" applyFont="1" applyFill="1" applyBorder="1" applyAlignment="1">
      <x:alignment vertical="center"/>
    </x:xf>
    <x:xf numFmtId="204" fontId="4" fillId="4" borderId="24" xfId="0" applyNumberFormat="1" applyFont="1" applyFill="1" applyBorder="1" applyAlignment="1">
      <x:alignment vertical="center"/>
    </x:xf>
    <x:xf numFmtId="200" fontId="4" fillId="4" borderId="11" xfId="0" applyNumberFormat="1" applyFont="1" applyFill="1" applyBorder="1" applyAlignment="1">
      <x:alignment vertical="center"/>
    </x:xf>
    <x:xf numFmtId="200" fontId="4" fillId="4" borderId="0" xfId="0" applyNumberFormat="1" applyFont="1" applyFill="1" applyBorder="1" applyAlignment="1">
      <x:alignment vertical="center"/>
    </x:xf>
    <x:xf numFmtId="200" fontId="4" fillId="4" borderId="16" xfId="0" applyNumberFormat="1" applyFont="1" applyFill="1" applyBorder="1" applyAlignment="1">
      <x:alignment vertical="center"/>
    </x:xf>
    <x:xf numFmtId="200" fontId="4" fillId="4" borderId="19" xfId="0" applyNumberFormat="1" applyFont="1" applyFill="1" applyBorder="1" applyAlignment="1">
      <x:alignment vertical="center"/>
    </x:xf>
    <x:xf numFmtId="200" fontId="4" fillId="4" borderId="1" xfId="0" applyNumberFormat="1" applyFont="1" applyFill="1" applyBorder="1" applyAlignment="1">
      <x:alignment vertical="center"/>
    </x:xf>
    <x:xf numFmtId="200" fontId="4" fillId="4" borderId="24" xfId="0" applyNumberFormat="1" applyFont="1" applyFill="1" applyBorder="1" applyAlignment="1">
      <x:alignment vertical="center"/>
    </x:xf>
    <x:xf numFmtId="200" fontId="4" fillId="8" borderId="10" xfId="0" applyNumberFormat="1" applyFont="1" applyFill="1" applyBorder="1" applyAlignment="1">
      <x:alignment vertical="center"/>
    </x:xf>
    <x:xf numFmtId="200" fontId="4" fillId="8" borderId="13" xfId="0" applyNumberFormat="1" applyFont="1" applyFill="1" applyBorder="1" applyAlignment="1">
      <x:alignment vertical="center"/>
    </x:xf>
    <x:xf numFmtId="200" fontId="4" fillId="8" borderId="15" xfId="0" applyNumberFormat="1" applyFont="1" applyFill="1" applyBorder="1" applyAlignment="1">
      <x:alignment vertical="center"/>
    </x:xf>
    <x:xf numFmtId="200" fontId="4" fillId="8" borderId="18" xfId="0" applyNumberFormat="1" applyFont="1" applyFill="1" applyBorder="1" applyAlignment="1">
      <x:alignment vertical="center"/>
    </x:xf>
    <x:xf numFmtId="200" fontId="4" fillId="8" borderId="21" xfId="0" applyNumberFormat="1" applyFont="1" applyFill="1" applyBorder="1" applyAlignment="1">
      <x:alignment vertical="center"/>
    </x:xf>
    <x:xf numFmtId="200" fontId="4" fillId="8" borderId="23" xfId="0" applyNumberFormat="1" applyFont="1" applyFill="1" applyBorder="1" applyAlignment="1">
      <x:alignment vertical="center"/>
    </x:xf>
    <x:xf numFmtId="200" fontId="4" fillId="8" borderId="11" xfId="0" applyNumberFormat="1" applyFont="1" applyFill="1" applyBorder="1" applyAlignment="1">
      <x:alignment vertical="center"/>
    </x:xf>
    <x:xf numFmtId="200" fontId="4" fillId="8" borderId="0" xfId="0" applyNumberFormat="1" applyFont="1" applyFill="1" applyBorder="1" applyAlignment="1">
      <x:alignment vertical="center"/>
    </x:xf>
    <x:xf numFmtId="200" fontId="4" fillId="8" borderId="16" xfId="0" applyNumberFormat="1" applyFont="1" applyFill="1" applyBorder="1" applyAlignment="1">
      <x:alignment vertical="center"/>
    </x:xf>
    <x:xf numFmtId="200" fontId="4" fillId="8" borderId="19" xfId="0" applyNumberFormat="1" applyFont="1" applyFill="1" applyBorder="1" applyAlignment="1">
      <x:alignment vertical="center"/>
    </x:xf>
    <x:xf numFmtId="200" fontId="4" fillId="8" borderId="1" xfId="0" applyNumberFormat="1" applyFont="1" applyFill="1" applyBorder="1" applyAlignment="1">
      <x:alignment vertical="center"/>
    </x:xf>
    <x:xf numFmtId="200" fontId="4" fillId="8" borderId="24" xfId="0" applyNumberFormat="1" applyFont="1" applyFill="1" applyBorder="1" applyAlignment="1">
      <x:alignment vertical="center"/>
    </x:xf>
    <x:xf numFmtId="202" fontId="4" fillId="4" borderId="11" xfId="0" applyNumberFormat="1" applyFont="1" applyFill="1" applyBorder="1" applyAlignment="1">
      <x:alignment vertical="center"/>
    </x:xf>
    <x:xf numFmtId="202" fontId="4" fillId="4" borderId="0" xfId="0" applyNumberFormat="1" applyFont="1" applyFill="1" applyBorder="1" applyAlignment="1">
      <x:alignment vertical="center"/>
    </x:xf>
    <x:xf numFmtId="202" fontId="4" fillId="4" borderId="16" xfId="0" applyNumberFormat="1" applyFont="1" applyFill="1" applyBorder="1" applyAlignment="1">
      <x:alignment vertical="center"/>
    </x:xf>
    <x:xf numFmtId="202" fontId="4" fillId="4" borderId="19" xfId="0" applyNumberFormat="1" applyFont="1" applyFill="1" applyBorder="1" applyAlignment="1">
      <x:alignment vertical="center"/>
    </x:xf>
    <x:xf numFmtId="202" fontId="4" fillId="4" borderId="1" xfId="0" applyNumberFormat="1" applyFont="1" applyFill="1" applyBorder="1" applyAlignment="1">
      <x:alignment vertical="center"/>
    </x:xf>
    <x:xf numFmtId="202" fontId="4" fillId="4" borderId="24" xfId="0" applyNumberFormat="1" applyFont="1" applyFill="1" applyBorder="1" applyAlignment="1">
      <x:alignment vertical="center"/>
    </x:xf>
    <x:xf numFmtId="202" fontId="4" fillId="8" borderId="11" xfId="0" applyNumberFormat="1" applyFont="1" applyFill="1" applyBorder="1" applyAlignment="1">
      <x:alignment vertical="center"/>
    </x:xf>
    <x:xf numFmtId="202" fontId="4" fillId="8" borderId="0" xfId="0" applyNumberFormat="1" applyFont="1" applyFill="1" applyBorder="1" applyAlignment="1">
      <x:alignment vertical="center"/>
    </x:xf>
    <x:xf numFmtId="202" fontId="4" fillId="8" borderId="16" xfId="0" applyNumberFormat="1" applyFont="1" applyFill="1" applyBorder="1" applyAlignment="1">
      <x:alignment vertical="center"/>
    </x:xf>
    <x:xf numFmtId="202" fontId="4" fillId="8" borderId="19" xfId="0" applyNumberFormat="1" applyFont="1" applyFill="1" applyBorder="1" applyAlignment="1">
      <x:alignment vertical="center"/>
    </x:xf>
    <x:xf numFmtId="202" fontId="4" fillId="8" borderId="1" xfId="0" applyNumberFormat="1" applyFont="1" applyFill="1" applyBorder="1" applyAlignment="1">
      <x:alignment vertical="center"/>
    </x:xf>
    <x:xf numFmtId="202" fontId="4" fillId="8" borderId="24" xfId="0" applyNumberFormat="1" applyFont="1" applyFill="1" applyBorder="1" applyAlignment="1">
      <x:alignment vertical="center"/>
    </x:xf>
    <x:xf numFmtId="201" fontId="4" fillId="4" borderId="11" xfId="0" applyNumberFormat="1" applyFont="1" applyFill="1" applyBorder="1" applyAlignment="1">
      <x:alignment vertical="center"/>
    </x:xf>
    <x:xf numFmtId="201" fontId="4" fillId="4" borderId="0" xfId="0" applyNumberFormat="1" applyFont="1" applyFill="1" applyBorder="1" applyAlignment="1">
      <x:alignment vertical="center"/>
    </x:xf>
    <x:xf numFmtId="201" fontId="4" fillId="4" borderId="16" xfId="0" applyNumberFormat="1" applyFont="1" applyFill="1" applyBorder="1" applyAlignment="1">
      <x:alignment vertical="center"/>
    </x:xf>
    <x:xf numFmtId="201" fontId="4" fillId="4" borderId="19" xfId="0" applyNumberFormat="1" applyFont="1" applyFill="1" applyBorder="1" applyAlignment="1">
      <x:alignment vertical="center"/>
    </x:xf>
    <x:xf numFmtId="201" fontId="4" fillId="4" borderId="1" xfId="0" applyNumberFormat="1" applyFont="1" applyFill="1" applyBorder="1" applyAlignment="1">
      <x:alignment vertical="center"/>
    </x:xf>
    <x:xf numFmtId="201" fontId="4" fillId="4" borderId="24" xfId="0" applyNumberFormat="1" applyFont="1" applyFill="1" applyBorder="1" applyAlignment="1">
      <x:alignment vertical="center"/>
    </x:xf>
    <x:xf numFmtId="0" fontId="4" fillId="8" borderId="26" xfId="0" applyNumberFormat="1" applyFont="1" applyFill="1" applyBorder="1" applyAlignment="1">
      <x:alignment vertical="center"/>
    </x:xf>
    <x:xf numFmtId="0" fontId="4" fillId="8" borderId="27" xfId="0" applyNumberFormat="1" applyFont="1" applyFill="1" applyBorder="1" applyAlignment="1">
      <x:alignment vertical="center"/>
    </x:xf>
    <x:xf numFmtId="0" fontId="4" fillId="8" borderId="28" xfId="0" applyNumberFormat="1" applyFont="1" applyFill="1" applyBorder="1" applyAlignment="1">
      <x:alignment vertical="center"/>
    </x:xf>
    <x:xf numFmtId="0" fontId="4" fillId="8" borderId="29" xfId="0" applyNumberFormat="1" applyFont="1" applyFill="1" applyBorder="1" applyAlignment="1">
      <x:alignment vertical="center"/>
    </x:xf>
    <x:xf numFmtId="0" fontId="4" fillId="8" borderId="30" xfId="0" applyNumberFormat="1" applyFont="1" applyFill="1" applyBorder="1" applyAlignment="1">
      <x:alignment vertical="center"/>
    </x:xf>
    <x:xf numFmtId="0" fontId="4" fillId="8" borderId="31" xfId="0" applyNumberFormat="1" applyFont="1" applyFill="1" applyBorder="1" applyAlignment="1">
      <x:alignment vertical="center"/>
    </x:xf>
    <x:xf numFmtId="200" fontId="4" fillId="8" borderId="26" xfId="0" applyNumberFormat="1" applyFont="1" applyFill="1" applyBorder="1" applyAlignment="1">
      <x:alignment vertical="center"/>
    </x:xf>
    <x:xf numFmtId="200" fontId="4" fillId="8" borderId="27" xfId="0" applyNumberFormat="1" applyFont="1" applyFill="1" applyBorder="1" applyAlignment="1">
      <x:alignment vertical="center"/>
    </x:xf>
    <x:xf numFmtId="200" fontId="4" fillId="8" borderId="28" xfId="0" applyNumberFormat="1" applyFont="1" applyFill="1" applyBorder="1" applyAlignment="1">
      <x:alignment vertical="center"/>
    </x:xf>
    <x:xf numFmtId="200" fontId="4" fillId="8" borderId="29" xfId="0" applyNumberFormat="1" applyFont="1" applyFill="1" applyBorder="1" applyAlignment="1">
      <x:alignment vertical="center"/>
    </x:xf>
    <x:xf numFmtId="200" fontId="4" fillId="8" borderId="30" xfId="0" applyNumberFormat="1" applyFont="1" applyFill="1" applyBorder="1" applyAlignment="1">
      <x:alignment vertical="center"/>
    </x:xf>
    <x:xf numFmtId="200" fontId="4" fillId="8" borderId="31" xfId="0" applyNumberFormat="1" applyFont="1" applyFill="1" applyBorder="1" applyAlignment="1">
      <x:alignment vertical="center"/>
    </x:xf>
    <x:xf numFmtId="202" fontId="4" fillId="8" borderId="26" xfId="0" applyNumberFormat="1" applyFont="1" applyFill="1" applyBorder="1" applyAlignment="1">
      <x:alignment vertical="center"/>
    </x:xf>
    <x:xf numFmtId="202" fontId="4" fillId="8" borderId="27" xfId="0" applyNumberFormat="1" applyFont="1" applyFill="1" applyBorder="1" applyAlignment="1">
      <x:alignment vertical="center"/>
    </x:xf>
    <x:xf numFmtId="202" fontId="4" fillId="8" borderId="28" xfId="0" applyNumberFormat="1" applyFont="1" applyFill="1" applyBorder="1" applyAlignment="1">
      <x:alignment vertical="center"/>
    </x:xf>
    <x:xf numFmtId="202" fontId="4" fillId="8" borderId="29" xfId="0" applyNumberFormat="1" applyFont="1" applyFill="1" applyBorder="1" applyAlignment="1">
      <x:alignment vertical="center"/>
    </x:xf>
    <x:xf numFmtId="202" fontId="4" fillId="8" borderId="30" xfId="0" applyNumberFormat="1" applyFont="1" applyFill="1" applyBorder="1" applyAlignment="1">
      <x:alignment vertical="center"/>
    </x:xf>
    <x:xf numFmtId="202" fontId="4" fillId="8" borderId="31" xfId="0" applyNumberFormat="1" applyFont="1" applyFill="1" applyBorder="1" applyAlignment="1">
      <x:alignment vertical="center"/>
    </x:xf>
    <x:xf numFmtId="200" fontId="4" fillId="8" borderId="6" xfId="0" applyNumberFormat="1" applyFont="1" applyFill="1" applyBorder="1" applyAlignment="1">
      <x:alignment vertical="center"/>
    </x:xf>
    <x:xf numFmtId="200" fontId="4" fillId="8" borderId="9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/>
    <x:xf numFmtId="0" fontId="2" fillId="4" borderId="2" xfId="0" applyNumberFormat="1" applyFont="1" applyFill="1" applyBorder="1"/>
    <x:xf numFmtId="0" fontId="2" fillId="4" borderId="2" xfId="0" applyNumberFormat="1" applyFont="1" applyFill="1" applyBorder="1" applyAlignment="1">
      <x:alignment vertical="center"/>
    </x:xf>
    <x:xf numFmtId="0" fontId="2" fillId="4" borderId="1" xfId="0" applyNumberFormat="1" applyFont="1" applyFill="1" applyBorder="1"/>
    <x:xf numFmtId="0" fontId="2" fillId="4" borderId="3" xfId="0" applyNumberFormat="1" applyFont="1" applyFill="1" applyBorder="1"/>
    <x:xf numFmtId="0" fontId="2" fillId="4" borderId="3" xfId="0" applyNumberFormat="1" applyFont="1" applyFill="1" applyBorder="1" applyAlignment="1">
      <x:alignment vertical="center"/>
    </x:xf>
    <x:xf numFmtId="0" fontId="2" fillId="4" borderId="2" xfId="0" applyNumberFormat="1" applyFont="1" applyFill="1" applyBorder="1" applyAlignment="1">
      <x:alignment vertical="center" wrapText="1"/>
    </x:xf>
    <x:xf numFmtId="0" fontId="4" fillId="4" borderId="4" xfId="0" applyNumberFormat="1" applyFont="1" applyFill="1" applyBorder="1" applyAlignment="1">
      <x:alignment vertical="center" wrapText="1"/>
    </x:xf>
    <x:xf numFmtId="0" fontId="4" fillId="4" borderId="6" xfId="0" applyNumberFormat="1" applyFont="1" applyFill="1" applyBorder="1" applyAlignment="1">
      <x:alignment vertical="center" wrapText="1"/>
    </x:xf>
    <x:xf numFmtId="0" fontId="2" fillId="4" borderId="3" xfId="0" applyNumberFormat="1" applyFont="1" applyFill="1" applyBorder="1" applyAlignment="1">
      <x:alignment vertical="center" wrapText="1"/>
    </x:xf>
    <x:xf numFmtId="0" fontId="4" fillId="4" borderId="7" xfId="0" applyNumberFormat="1" applyFont="1" applyFill="1" applyBorder="1" applyAlignment="1">
      <x:alignment vertical="center" wrapText="1"/>
    </x:xf>
    <x:xf numFmtId="0" fontId="4" fillId="4" borderId="9" xfId="0" applyNumberFormat="1" applyFont="1" applyFill="1" applyBorder="1" applyAlignment="1">
      <x:alignment vertical="center" wrapText="1"/>
    </x:xf>
    <x:xf numFmtId="0" fontId="4" fillId="6" borderId="10" xfId="0" applyNumberFormat="1" applyFont="1" applyFill="1" applyBorder="1"/>
    <x:xf numFmtId="0" fontId="4" fillId="6" borderId="11" xfId="0" applyNumberFormat="1" applyFont="1" applyFill="1" applyBorder="1"/>
    <x:xf numFmtId="0" fontId="4" fillId="6" borderId="12" xfId="0" applyNumberFormat="1" applyFont="1" applyFill="1" applyBorder="1"/>
    <x:xf numFmtId="0" fontId="4" fillId="6" borderId="13" xfId="0" applyNumberFormat="1" applyFont="1" applyFill="1" applyBorder="1"/>
    <x:xf numFmtId="0" fontId="4" fillId="6" borderId="14" xfId="0" applyNumberFormat="1" applyFont="1" applyFill="1" applyBorder="1"/>
    <x:xf numFmtId="0" fontId="4" fillId="6" borderId="15" xfId="0" applyNumberFormat="1" applyFont="1" applyFill="1" applyBorder="1"/>
    <x:xf numFmtId="0" fontId="4" fillId="6" borderId="16" xfId="0" applyNumberFormat="1" applyFont="1" applyFill="1" applyBorder="1"/>
    <x:xf numFmtId="0" fontId="4" fillId="6" borderId="17" xfId="0" applyNumberFormat="1" applyFont="1" applyFill="1" applyBorder="1"/>
    <x:xf numFmtId="0" fontId="4" fillId="6" borderId="10" xfId="0" applyNumberFormat="1" applyFont="1" applyFill="1" applyBorder="1" applyAlignment="1">
      <x:alignment wrapText="1"/>
    </x:xf>
    <x:xf numFmtId="0" fontId="4" fillId="6" borderId="11" xfId="0" applyNumberFormat="1" applyFont="1" applyFill="1" applyBorder="1" applyAlignment="1">
      <x:alignment wrapText="1"/>
    </x:xf>
    <x:xf numFmtId="0" fontId="4" fillId="6" borderId="12" xfId="0" applyNumberFormat="1" applyFont="1" applyFill="1" applyBorder="1" applyAlignment="1">
      <x:alignment wrapText="1"/>
    </x:xf>
    <x:xf numFmtId="0" fontId="4" fillId="6" borderId="13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wrapText="1"/>
    </x:xf>
    <x:xf numFmtId="0" fontId="4" fillId="6" borderId="14" xfId="0" applyNumberFormat="1" applyFont="1" applyFill="1" applyBorder="1" applyAlignment="1">
      <x:alignment wrapText="1"/>
    </x:xf>
    <x:xf numFmtId="0" fontId="4" fillId="6" borderId="15" xfId="0" applyNumberFormat="1" applyFont="1" applyFill="1" applyBorder="1" applyAlignment="1">
      <x:alignment wrapText="1"/>
    </x:xf>
    <x:xf numFmtId="0" fontId="4" fillId="6" borderId="16" xfId="0" applyNumberFormat="1" applyFont="1" applyFill="1" applyBorder="1" applyAlignment="1">
      <x:alignment wrapText="1"/>
    </x:xf>
    <x:xf numFmtId="0" fontId="4" fillId="6" borderId="17" xfId="0" applyNumberFormat="1" applyFont="1" applyFill="1" applyBorder="1" applyAlignment="1">
      <x:alignment wrapText="1"/>
    </x:xf>
    <x:xf numFmtId="0" fontId="4" fillId="6" borderId="10" xfId="0" applyNumberFormat="1" applyFont="1" applyFill="1" applyBorder="1" applyAlignment="1">
      <x:alignment vertical="center" wrapText="1"/>
    </x:xf>
    <x:xf numFmtId="0" fontId="4" fillId="6" borderId="11" xfId="0" applyNumberFormat="1" applyFont="1" applyFill="1" applyBorder="1" applyAlignment="1">
      <x:alignment vertical="center" wrapText="1"/>
    </x:xf>
    <x:xf numFmtId="0" fontId="4" fillId="6" borderId="12" xfId="0" applyNumberFormat="1" applyFont="1" applyFill="1" applyBorder="1" applyAlignment="1">
      <x:alignment vertical="center" wrapText="1"/>
    </x:xf>
    <x:xf numFmtId="0" fontId="4" fillId="6" borderId="13" xfId="0" applyNumberFormat="1" applyFont="1" applyFill="1" applyBorder="1" applyAlignment="1">
      <x:alignment vertical="center" wrapText="1"/>
    </x:xf>
    <x:xf numFmtId="0" fontId="4" fillId="6" borderId="0" xfId="0" applyNumberFormat="1" applyFont="1" applyFill="1" applyBorder="1" applyAlignment="1">
      <x:alignment vertical="center" wrapText="1"/>
    </x:xf>
    <x:xf numFmtId="0" fontId="4" fillId="6" borderId="14" xfId="0" applyNumberFormat="1" applyFont="1" applyFill="1" applyBorder="1" applyAlignment="1">
      <x:alignment vertical="center" wrapText="1"/>
    </x:xf>
    <x:xf numFmtId="0" fontId="4" fillId="6" borderId="15" xfId="0" applyNumberFormat="1" applyFont="1" applyFill="1" applyBorder="1" applyAlignment="1">
      <x:alignment vertical="center" wrapText="1"/>
    </x:xf>
    <x:xf numFmtId="0" fontId="4" fillId="6" borderId="16" xfId="0" applyNumberFormat="1" applyFont="1" applyFill="1" applyBorder="1" applyAlignment="1">
      <x:alignment vertical="center" wrapText="1"/>
    </x:xf>
    <x:xf numFmtId="0" fontId="4" fillId="6" borderId="17" xfId="0" applyNumberFormat="1" applyFont="1" applyFill="1" applyBorder="1" applyAlignment="1">
      <x:alignment vertical="center" wrapText="1"/>
    </x:xf>
    <x:xf numFmtId="0" fontId="4" fillId="6" borderId="18" xfId="0" applyNumberFormat="1" applyFont="1" applyFill="1" applyBorder="1"/>
    <x:xf numFmtId="0" fontId="4" fillId="6" borderId="19" xfId="0" applyNumberFormat="1" applyFont="1" applyFill="1" applyBorder="1"/>
    <x:xf numFmtId="0" fontId="4" fillId="6" borderId="20" xfId="0" applyNumberFormat="1" applyFont="1" applyFill="1" applyBorder="1"/>
    <x:xf numFmtId="0" fontId="4" fillId="6" borderId="21" xfId="0" applyNumberFormat="1" applyFont="1" applyFill="1" applyBorder="1"/>
    <x:xf numFmtId="0" fontId="4" fillId="6" borderId="22" xfId="0" applyNumberFormat="1" applyFont="1" applyFill="1" applyBorder="1"/>
    <x:xf numFmtId="0" fontId="4" fillId="6" borderId="23" xfId="0" applyNumberFormat="1" applyFont="1" applyFill="1" applyBorder="1"/>
    <x:xf numFmtId="0" fontId="4" fillId="6" borderId="24" xfId="0" applyNumberFormat="1" applyFont="1" applyFill="1" applyBorder="1"/>
    <x:xf numFmtId="0" fontId="4" fillId="6" borderId="25" xfId="0" applyNumberFormat="1" applyFont="1" applyFill="1" applyBorder="1"/>
    <x:xf numFmtId="0" fontId="4" fillId="6" borderId="18" xfId="0" applyNumberFormat="1" applyFont="1" applyFill="1" applyBorder="1" applyAlignment="1">
      <x:alignment wrapText="1"/>
    </x:xf>
    <x:xf numFmtId="0" fontId="4" fillId="6" borderId="19" xfId="0" applyNumberFormat="1" applyFont="1" applyFill="1" applyBorder="1" applyAlignment="1">
      <x:alignment wrapText="1"/>
    </x:xf>
    <x:xf numFmtId="0" fontId="4" fillId="6" borderId="20" xfId="0" applyNumberFormat="1" applyFont="1" applyFill="1" applyBorder="1" applyAlignment="1">
      <x:alignment wrapText="1"/>
    </x:xf>
    <x:xf numFmtId="0" fontId="4" fillId="6" borderId="21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wrapText="1"/>
    </x:xf>
    <x:xf numFmtId="0" fontId="4" fillId="6" borderId="22" xfId="0" applyNumberFormat="1" applyFont="1" applyFill="1" applyBorder="1" applyAlignment="1">
      <x:alignment wrapText="1"/>
    </x:xf>
    <x:xf numFmtId="0" fontId="4" fillId="6" borderId="23" xfId="0" applyNumberFormat="1" applyFont="1" applyFill="1" applyBorder="1" applyAlignment="1">
      <x:alignment wrapText="1"/>
    </x:xf>
    <x:xf numFmtId="0" fontId="4" fillId="6" borderId="24" xfId="0" applyNumberFormat="1" applyFont="1" applyFill="1" applyBorder="1" applyAlignment="1">
      <x:alignment wrapText="1"/>
    </x:xf>
    <x:xf numFmtId="0" fontId="4" fillId="6" borderId="25" xfId="0" applyNumberFormat="1" applyFont="1" applyFill="1" applyBorder="1" applyAlignment="1">
      <x:alignment wrapText="1"/>
    </x:xf>
    <x:xf numFmtId="0" fontId="4" fillId="6" borderId="18" xfId="0" applyNumberFormat="1" applyFont="1" applyFill="1" applyBorder="1" applyAlignment="1">
      <x:alignment vertical="center" wrapText="1"/>
    </x:xf>
    <x:xf numFmtId="0" fontId="4" fillId="6" borderId="19" xfId="0" applyNumberFormat="1" applyFont="1" applyFill="1" applyBorder="1" applyAlignment="1">
      <x:alignment vertical="center" wrapText="1"/>
    </x:xf>
    <x:xf numFmtId="0" fontId="4" fillId="6" borderId="20" xfId="0" applyNumberFormat="1" applyFont="1" applyFill="1" applyBorder="1" applyAlignment="1">
      <x:alignment vertical="center" wrapText="1"/>
    </x:xf>
    <x:xf numFmtId="0" fontId="4" fillId="6" borderId="21" xfId="0" applyNumberFormat="1" applyFont="1" applyFill="1" applyBorder="1" applyAlignment="1">
      <x:alignment vertical="center" wrapText="1"/>
    </x:xf>
    <x:xf numFmtId="0" fontId="4" fillId="6" borderId="1" xfId="0" applyNumberFormat="1" applyFont="1" applyFill="1" applyBorder="1" applyAlignment="1">
      <x:alignment vertical="center" wrapText="1"/>
    </x:xf>
    <x:xf numFmtId="0" fontId="4" fillId="6" borderId="22" xfId="0" applyNumberFormat="1" applyFont="1" applyFill="1" applyBorder="1" applyAlignment="1">
      <x:alignment vertical="center" wrapText="1"/>
    </x:xf>
    <x:xf numFmtId="0" fontId="4" fillId="6" borderId="23" xfId="0" applyNumberFormat="1" applyFont="1" applyFill="1" applyBorder="1" applyAlignment="1">
      <x:alignment vertical="center" wrapText="1"/>
    </x:xf>
    <x:xf numFmtId="0" fontId="4" fillId="6" borderId="24" xfId="0" applyNumberFormat="1" applyFont="1" applyFill="1" applyBorder="1" applyAlignment="1">
      <x:alignment vertical="center" wrapText="1"/>
    </x:xf>
    <x:xf numFmtId="0" fontId="4" fillId="6" borderId="25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/>
    <x:xf numFmtId="0" fontId="4" fillId="3" borderId="10" xfId="0" applyNumberFormat="1" applyFont="1" applyFill="1" applyBorder="1"/>
    <x:xf numFmtId="0" fontId="4" fillId="3" borderId="11" xfId="0" applyNumberFormat="1" applyFont="1" applyFill="1" applyBorder="1"/>
    <x:xf numFmtId="0" fontId="4" fillId="3" borderId="12" xfId="0" applyNumberFormat="1" applyFont="1" applyFill="1" applyBorder="1"/>
    <x:xf numFmtId="0" fontId="4" fillId="3" borderId="13" xfId="0" applyNumberFormat="1" applyFont="1" applyFill="1" applyBorder="1"/>
    <x:xf numFmtId="0" fontId="4" fillId="3" borderId="14" xfId="0" applyNumberFormat="1" applyFont="1" applyFill="1" applyBorder="1"/>
    <x:xf numFmtId="0" fontId="4" fillId="3" borderId="15" xfId="0" applyNumberFormat="1" applyFont="1" applyFill="1" applyBorder="1"/>
    <x:xf numFmtId="0" fontId="4" fillId="3" borderId="16" xfId="0" applyNumberFormat="1" applyFont="1" applyFill="1" applyBorder="1"/>
    <x:xf numFmtId="0" fontId="4" fillId="3" borderId="17" xfId="0" applyNumberFormat="1" applyFont="1" applyFill="1" applyBorder="1"/>
    <x:xf numFmtId="0" fontId="4" fillId="3" borderId="10" xfId="0" applyNumberFormat="1" applyFont="1" applyFill="1" applyBorder="1" applyAlignment="1">
      <x:alignment wrapText="1"/>
    </x:xf>
    <x:xf numFmtId="0" fontId="4" fillId="3" borderId="11" xfId="0" applyNumberFormat="1" applyFont="1" applyFill="1" applyBorder="1" applyAlignment="1">
      <x:alignment wrapText="1"/>
    </x:xf>
    <x:xf numFmtId="0" fontId="4" fillId="3" borderId="12" xfId="0" applyNumberFormat="1" applyFont="1" applyFill="1" applyBorder="1" applyAlignment="1">
      <x:alignment wrapText="1"/>
    </x:xf>
    <x:xf numFmtId="0" fontId="4" fillId="3" borderId="13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wrapText="1"/>
    </x:xf>
    <x:xf numFmtId="0" fontId="4" fillId="3" borderId="14" xfId="0" applyNumberFormat="1" applyFont="1" applyFill="1" applyBorder="1" applyAlignment="1">
      <x:alignment wrapText="1"/>
    </x:xf>
    <x:xf numFmtId="0" fontId="4" fillId="3" borderId="15" xfId="0" applyNumberFormat="1" applyFont="1" applyFill="1" applyBorder="1" applyAlignment="1">
      <x:alignment wrapText="1"/>
    </x:xf>
    <x:xf numFmtId="0" fontId="4" fillId="3" borderId="16" xfId="0" applyNumberFormat="1" applyFont="1" applyFill="1" applyBorder="1" applyAlignment="1">
      <x:alignment wrapText="1"/>
    </x:xf>
    <x:xf numFmtId="0" fontId="4" fillId="3" borderId="17" xfId="0" applyNumberFormat="1" applyFont="1" applyFill="1" applyBorder="1" applyAlignment="1">
      <x:alignment wrapText="1"/>
    </x:xf>
    <x:xf numFmtId="0" fontId="4" fillId="3" borderId="10" xfId="0" applyNumberFormat="1" applyFont="1" applyFill="1" applyBorder="1" applyAlignment="1">
      <x:alignment vertical="center" wrapText="1"/>
    </x:xf>
    <x:xf numFmtId="0" fontId="4" fillId="3" borderId="11" xfId="0" applyNumberFormat="1" applyFont="1" applyFill="1" applyBorder="1" applyAlignment="1">
      <x:alignment vertical="center" wrapText="1"/>
    </x:xf>
    <x:xf numFmtId="0" fontId="4" fillId="3" borderId="12" xfId="0" applyNumberFormat="1" applyFont="1" applyFill="1" applyBorder="1" applyAlignment="1">
      <x:alignment vertical="center" wrapText="1"/>
    </x:xf>
    <x:xf numFmtId="0" fontId="4" fillId="3" borderId="13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center" wrapText="1"/>
    </x:xf>
    <x:xf numFmtId="0" fontId="4" fillId="3" borderId="14" xfId="0" applyNumberFormat="1" applyFont="1" applyFill="1" applyBorder="1" applyAlignment="1">
      <x:alignment vertical="center" wrapText="1"/>
    </x:xf>
    <x:xf numFmtId="0" fontId="4" fillId="3" borderId="15" xfId="0" applyNumberFormat="1" applyFont="1" applyFill="1" applyBorder="1" applyAlignment="1">
      <x:alignment vertical="center" wrapText="1"/>
    </x:xf>
    <x:xf numFmtId="0" fontId="4" fillId="3" borderId="16" xfId="0" applyNumberFormat="1" applyFont="1" applyFill="1" applyBorder="1" applyAlignment="1">
      <x:alignment vertical="center" wrapText="1"/>
    </x:xf>
    <x:xf numFmtId="0" fontId="4" fillId="3" borderId="17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/>
    <x:xf numFmtId="0" fontId="4" fillId="3" borderId="18" xfId="0" applyNumberFormat="1" applyFont="1" applyFill="1" applyBorder="1"/>
    <x:xf numFmtId="0" fontId="4" fillId="3" borderId="19" xfId="0" applyNumberFormat="1" applyFont="1" applyFill="1" applyBorder="1"/>
    <x:xf numFmtId="0" fontId="4" fillId="3" borderId="20" xfId="0" applyNumberFormat="1" applyFont="1" applyFill="1" applyBorder="1"/>
    <x:xf numFmtId="0" fontId="4" fillId="3" borderId="21" xfId="0" applyNumberFormat="1" applyFont="1" applyFill="1" applyBorder="1"/>
    <x:xf numFmtId="0" fontId="4" fillId="3" borderId="22" xfId="0" applyNumberFormat="1" applyFont="1" applyFill="1" applyBorder="1"/>
    <x:xf numFmtId="0" fontId="4" fillId="3" borderId="23" xfId="0" applyNumberFormat="1" applyFont="1" applyFill="1" applyBorder="1"/>
    <x:xf numFmtId="0" fontId="4" fillId="3" borderId="24" xfId="0" applyNumberFormat="1" applyFont="1" applyFill="1" applyBorder="1"/>
    <x:xf numFmtId="0" fontId="4" fillId="3" borderId="25" xfId="0" applyNumberFormat="1" applyFont="1" applyFill="1" applyBorder="1"/>
    <x:xf numFmtId="0" fontId="4" fillId="3" borderId="18" xfId="0" applyNumberFormat="1" applyFont="1" applyFill="1" applyBorder="1" applyAlignment="1">
      <x:alignment wrapText="1"/>
    </x:xf>
    <x:xf numFmtId="0" fontId="4" fillId="3" borderId="19" xfId="0" applyNumberFormat="1" applyFont="1" applyFill="1" applyBorder="1" applyAlignment="1">
      <x:alignment wrapText="1"/>
    </x:xf>
    <x:xf numFmtId="0" fontId="4" fillId="3" borderId="20" xfId="0" applyNumberFormat="1" applyFont="1" applyFill="1" applyBorder="1" applyAlignment="1">
      <x:alignment wrapText="1"/>
    </x:xf>
    <x:xf numFmtId="0" fontId="4" fillId="3" borderId="2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wrapText="1"/>
    </x:xf>
    <x:xf numFmtId="0" fontId="4" fillId="3" borderId="22" xfId="0" applyNumberFormat="1" applyFont="1" applyFill="1" applyBorder="1" applyAlignment="1">
      <x:alignment wrapText="1"/>
    </x:xf>
    <x:xf numFmtId="0" fontId="4" fillId="3" borderId="23" xfId="0" applyNumberFormat="1" applyFont="1" applyFill="1" applyBorder="1" applyAlignment="1">
      <x:alignment wrapText="1"/>
    </x:xf>
    <x:xf numFmtId="0" fontId="4" fillId="3" borderId="24" xfId="0" applyNumberFormat="1" applyFont="1" applyFill="1" applyBorder="1" applyAlignment="1">
      <x:alignment wrapText="1"/>
    </x:xf>
    <x:xf numFmtId="0" fontId="4" fillId="3" borderId="25" xfId="0" applyNumberFormat="1" applyFont="1" applyFill="1" applyBorder="1" applyAlignment="1">
      <x:alignment wrapText="1"/>
    </x:xf>
    <x:xf numFmtId="0" fontId="4" fillId="3" borderId="18" xfId="0" applyNumberFormat="1" applyFont="1" applyFill="1" applyBorder="1" applyAlignment="1">
      <x:alignment vertical="center" wrapText="1"/>
    </x:xf>
    <x:xf numFmtId="0" fontId="4" fillId="3" borderId="19" xfId="0" applyNumberFormat="1" applyFont="1" applyFill="1" applyBorder="1" applyAlignment="1">
      <x:alignment vertical="center" wrapText="1"/>
    </x:xf>
    <x:xf numFmtId="0" fontId="4" fillId="3" borderId="20" xfId="0" applyNumberFormat="1" applyFont="1" applyFill="1" applyBorder="1" applyAlignment="1">
      <x:alignment vertical="center" wrapText="1"/>
    </x:xf>
    <x:xf numFmtId="0" fontId="4" fillId="3" borderId="21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 applyAlignment="1">
      <x:alignment vertical="center" wrapText="1"/>
    </x:xf>
    <x:xf numFmtId="0" fontId="4" fillId="3" borderId="22" xfId="0" applyNumberFormat="1" applyFont="1" applyFill="1" applyBorder="1" applyAlignment="1">
      <x:alignment vertical="center" wrapText="1"/>
    </x:xf>
    <x:xf numFmtId="0" fontId="4" fillId="3" borderId="23" xfId="0" applyNumberFormat="1" applyFont="1" applyFill="1" applyBorder="1" applyAlignment="1">
      <x:alignment vertical="center" wrapText="1"/>
    </x:xf>
    <x:xf numFmtId="0" fontId="4" fillId="3" borderId="24" xfId="0" applyNumberFormat="1" applyFont="1" applyFill="1" applyBorder="1" applyAlignment="1">
      <x:alignment vertical="center" wrapText="1"/>
    </x:xf>
    <x:xf numFmtId="0" fontId="4" fillId="3" borderId="25" xfId="0" applyNumberFormat="1" applyFont="1" applyFill="1" applyBorder="1" applyAlignment="1">
      <x:alignment vertical="center" wrapText="1"/>
    </x:xf>
    <x:xf numFmtId="205" fontId="4" fillId="4" borderId="2" xfId="0" applyNumberFormat="1" applyFont="1" applyFill="1" applyBorder="1" applyAlignment="1">
      <x:alignment vertical="center"/>
    </x:xf>
    <x:xf numFmtId="205" fontId="4" fillId="4" borderId="3" xfId="0" applyNumberFormat="1" applyFont="1" applyFill="1" applyBorder="1" applyAlignment="1">
      <x:alignment vertical="center"/>
    </x:xf>
    <x:xf numFmtId="205" fontId="4" fillId="8" borderId="4" xfId="0" applyNumberFormat="1" applyFont="1" applyFill="1" applyBorder="1" applyAlignment="1">
      <x:alignment vertical="center"/>
    </x:xf>
    <x:xf numFmtId="205" fontId="4" fillId="8" borderId="5" xfId="0" applyNumberFormat="1" applyFont="1" applyFill="1" applyBorder="1" applyAlignment="1">
      <x:alignment vertical="center"/>
    </x:xf>
    <x:xf numFmtId="205" fontId="4" fillId="8" borderId="6" xfId="0" applyNumberFormat="1" applyFont="1" applyFill="1" applyBorder="1" applyAlignment="1">
      <x:alignment vertical="center"/>
    </x:xf>
    <x:xf numFmtId="205" fontId="4" fillId="8" borderId="7" xfId="0" applyNumberFormat="1" applyFont="1" applyFill="1" applyBorder="1" applyAlignment="1">
      <x:alignment vertical="center"/>
    </x:xf>
    <x:xf numFmtId="205" fontId="4" fillId="8" borderId="8" xfId="0" applyNumberFormat="1" applyFont="1" applyFill="1" applyBorder="1" applyAlignment="1">
      <x:alignment vertical="center"/>
    </x:xf>
    <x:xf numFmtId="205" fontId="4" fillId="8" borderId="9" xfId="0" applyNumberFormat="1" applyFont="1" applyFill="1" applyBorder="1" applyAlignment="1">
      <x:alignment vertical="center"/>
    </x:xf>
    <x:xf numFmtId="0" fontId="2" fillId="8" borderId="0" xfId="0" applyNumberFormat="1" applyFont="1" applyFill="1" applyBorder="1"/>
    <x:xf numFmtId="0" fontId="2" fillId="8" borderId="4" xfId="0" applyNumberFormat="1" applyFont="1" applyFill="1" applyBorder="1"/>
    <x:xf numFmtId="0" fontId="2" fillId="8" borderId="5" xfId="0" applyNumberFormat="1" applyFont="1" applyFill="1" applyBorder="1"/>
    <x:xf numFmtId="0" fontId="2" fillId="8" borderId="6" xfId="0" applyNumberFormat="1" applyFont="1" applyFill="1" applyBorder="1"/>
    <x:xf numFmtId="0" fontId="2" fillId="8" borderId="4" xfId="0" applyNumberFormat="1" applyFont="1" applyFill="1" applyBorder="1" applyAlignment="1">
      <x:alignment vertical="center"/>
    </x:xf>
    <x:xf numFmtId="0" fontId="2" fillId="8" borderId="5" xfId="0" applyNumberFormat="1" applyFont="1" applyFill="1" applyBorder="1" applyAlignment="1">
      <x:alignment vertical="center"/>
    </x:xf>
    <x:xf numFmtId="0" fontId="2" fillId="8" borderId="6" xfId="0" applyNumberFormat="1" applyFont="1" applyFill="1" applyBorder="1" applyAlignment="1">
      <x:alignment vertical="center"/>
    </x:xf>
    <x:xf numFmtId="0" fontId="2" fillId="8" borderId="1" xfId="0" applyNumberFormat="1" applyFont="1" applyFill="1" applyBorder="1"/>
    <x:xf numFmtId="0" fontId="2" fillId="8" borderId="7" xfId="0" applyNumberFormat="1" applyFont="1" applyFill="1" applyBorder="1"/>
    <x:xf numFmtId="0" fontId="2" fillId="8" borderId="8" xfId="0" applyNumberFormat="1" applyFont="1" applyFill="1" applyBorder="1"/>
    <x:xf numFmtId="0" fontId="2" fillId="8" borderId="9" xfId="0" applyNumberFormat="1" applyFont="1" applyFill="1" applyBorder="1"/>
    <x:xf numFmtId="0" fontId="2" fillId="8" borderId="7" xfId="0" applyNumberFormat="1" applyFont="1" applyFill="1" applyBorder="1" applyAlignment="1">
      <x:alignment vertical="center"/>
    </x:xf>
    <x:xf numFmtId="0" fontId="2" fillId="8" borderId="8" xfId="0" applyNumberFormat="1" applyFont="1" applyFill="1" applyBorder="1" applyAlignment="1">
      <x:alignment vertical="center"/>
    </x:xf>
    <x:xf numFmtId="0" fontId="2" fillId="8" borderId="9" xfId="0" applyNumberFormat="1" applyFont="1" applyFill="1" applyBorder="1" applyAlignment="1">
      <x:alignment vertical="center"/>
    </x:xf>
    <x:xf numFmtId="205" fontId="4" fillId="4" borderId="5" xfId="0" applyNumberFormat="1" applyFont="1" applyFill="1" applyBorder="1" applyAlignment="1">
      <x:alignment vertical="center"/>
    </x:xf>
    <x:xf numFmtId="205" fontId="2" fillId="8" borderId="5" xfId="0" applyNumberFormat="1" applyFont="1" applyFill="1" applyBorder="1" applyAlignment="1">
      <x:alignment vertical="center"/>
    </x:xf>
    <x:xf numFmtId="205" fontId="2" fillId="8" borderId="6" xfId="0" applyNumberFormat="1" applyFont="1" applyFill="1" applyBorder="1" applyAlignment="1">
      <x:alignment vertical="center"/>
    </x:xf>
    <x:xf numFmtId="205" fontId="4" fillId="4" borderId="8" xfId="0" applyNumberFormat="1" applyFont="1" applyFill="1" applyBorder="1" applyAlignment="1">
      <x:alignment vertical="center"/>
    </x:xf>
    <x:xf numFmtId="205" fontId="2" fillId="8" borderId="8" xfId="0" applyNumberFormat="1" applyFont="1" applyFill="1" applyBorder="1" applyAlignment="1">
      <x:alignment vertical="center"/>
    </x:xf>
    <x:xf numFmtId="205" fontId="2" fillId="8" borderId="9" xfId="0" applyNumberFormat="1" applyFont="1" applyFill="1" applyBorder="1" applyAlignment="1">
      <x:alignment vertical="center"/>
    </x:xf>
    <x:xf numFmtId="0" fontId="4" fillId="7" borderId="10" xfId="0" applyNumberFormat="1" applyFont="1" applyFill="1" applyBorder="1" applyAlignment="1">
      <x:alignment vertical="center"/>
    </x:xf>
    <x:xf numFmtId="0" fontId="4" fillId="7" borderId="12" xfId="0" applyNumberFormat="1" applyFont="1" applyFill="1" applyBorder="1" applyAlignment="1">
      <x:alignment vertical="center"/>
    </x:xf>
    <x:xf numFmtId="0" fontId="1" fillId="7" borderId="10" xfId="0" applyNumberFormat="1" applyFont="1" applyFill="1" applyBorder="1" applyAlignment="1">
      <x:alignment vertical="center"/>
    </x:xf>
    <x:xf numFmtId="0" fontId="1" fillId="7" borderId="12" xfId="0" applyNumberFormat="1" applyFont="1" applyFill="1" applyBorder="1" applyAlignment="1">
      <x:alignment vertical="center"/>
    </x:xf>
    <x:xf numFmtId="0" fontId="1" fillId="7" borderId="4" xfId="0" applyNumberFormat="1" applyFont="1" applyFill="1" applyBorder="1" applyAlignment="1">
      <x:alignment vertical="center"/>
    </x:xf>
    <x:xf numFmtId="0" fontId="1" fillId="7" borderId="6" xfId="0" applyNumberFormat="1" applyFont="1" applyFill="1" applyBorder="1" applyAlignment="1">
      <x:alignment vertical="center"/>
    </x:xf>
    <x:xf numFmtId="0" fontId="1" fillId="7" borderId="4" xfId="0" applyNumberFormat="1" applyFont="1" applyFill="1" applyBorder="1" applyAlignment="1">
      <x:alignment vertical="center" wrapText="1"/>
    </x:xf>
    <x:xf numFmtId="0" fontId="1" fillId="7" borderId="6" xfId="0" applyNumberFormat="1" applyFont="1" applyFill="1" applyBorder="1" applyAlignment="1">
      <x:alignment vertical="center" wrapText="1"/>
    </x:xf>
    <x:xf numFmtId="0" fontId="4" fillId="7" borderId="18" xfId="0" applyNumberFormat="1" applyFont="1" applyFill="1" applyBorder="1" applyAlignment="1">
      <x:alignment vertical="center"/>
    </x:xf>
    <x:xf numFmtId="0" fontId="4" fillId="7" borderId="20" xfId="0" applyNumberFormat="1" applyFont="1" applyFill="1" applyBorder="1" applyAlignment="1">
      <x:alignment vertical="center"/>
    </x:xf>
    <x:xf numFmtId="0" fontId="1" fillId="7" borderId="18" xfId="0" applyNumberFormat="1" applyFont="1" applyFill="1" applyBorder="1" applyAlignment="1">
      <x:alignment vertical="center"/>
    </x:xf>
    <x:xf numFmtId="0" fontId="1" fillId="7" borderId="20" xfId="0" applyNumberFormat="1" applyFont="1" applyFill="1" applyBorder="1" applyAlignment="1">
      <x:alignment vertical="center"/>
    </x:xf>
    <x:xf numFmtId="0" fontId="1" fillId="7" borderId="7" xfId="0" applyNumberFormat="1" applyFont="1" applyFill="1" applyBorder="1" applyAlignment="1">
      <x:alignment vertical="center"/>
    </x:xf>
    <x:xf numFmtId="0" fontId="1" fillId="7" borderId="9" xfId="0" applyNumberFormat="1" applyFont="1" applyFill="1" applyBorder="1" applyAlignment="1">
      <x:alignment vertical="center"/>
    </x:xf>
    <x:xf numFmtId="0" fontId="1" fillId="7" borderId="7" xfId="0" applyNumberFormat="1" applyFont="1" applyFill="1" applyBorder="1" applyAlignment="1">
      <x:alignment vertical="center" wrapText="1"/>
    </x:xf>
    <x:xf numFmtId="0" fontId="1" fillId="7" borderId="9" xfId="0" applyNumberFormat="1" applyFont="1" applyFill="1" applyBorder="1" applyAlignment="1">
      <x:alignment vertical="center" wrapText="1"/>
    </x:xf>
    <x:xf numFmtId="202" fontId="4" fillId="4" borderId="14" xfId="0" applyNumberFormat="1" applyFont="1" applyFill="1" applyBorder="1" applyAlignment="1">
      <x:alignment vertical="center"/>
    </x:xf>
    <x:xf numFmtId="202" fontId="4" fillId="4" borderId="17" xfId="0" applyNumberFormat="1" applyFont="1" applyFill="1" applyBorder="1" applyAlignment="1">
      <x:alignment vertical="center"/>
    </x:xf>
    <x:xf numFmtId="202" fontId="4" fillId="4" borderId="22" xfId="0" applyNumberFormat="1" applyFont="1" applyFill="1" applyBorder="1" applyAlignment="1">
      <x:alignment vertical="center"/>
    </x:xf>
    <x:xf numFmtId="202" fontId="4" fillId="4" borderId="25" xfId="0" applyNumberFormat="1" applyFont="1" applyFill="1" applyBorder="1" applyAlignment="1">
      <x:alignment vertical="center"/>
    </x:xf>
    <x:xf numFmtId="205" fontId="4" fillId="4" borderId="6" xfId="0" applyNumberFormat="1" applyFont="1" applyFill="1" applyBorder="1" applyAlignment="1">
      <x:alignment vertical="center"/>
    </x:xf>
    <x:xf numFmtId="205" fontId="4" fillId="4" borderId="9" xfId="0" applyNumberFormat="1" applyFont="1" applyFill="1" applyBorder="1" applyAlignment="1">
      <x:alignment vertical="center"/>
    </x:xf>
    <x:xf numFmtId="0" fontId="0" fillId="9" borderId="0" xfId="0" applyNumberFormat="1" applyFont="1" applyFill="1" applyBorder="1"/>
    <x:xf numFmtId="0" fontId="6" fillId="9" borderId="0" xfId="0" applyNumberFormat="1" applyFont="1" applyFill="1" applyBorder="1"/>
    <x:xf numFmtId="0" fontId="6" fillId="9" borderId="10" xfId="0" applyNumberFormat="1" applyFont="1" applyFill="1" applyBorder="1"/>
    <x:xf numFmtId="0" fontId="6" fillId="9" borderId="11" xfId="0" applyNumberFormat="1" applyFont="1" applyFill="1" applyBorder="1"/>
    <x:xf numFmtId="0" fontId="6" fillId="9" borderId="12" xfId="0" applyNumberFormat="1" applyFont="1" applyFill="1" applyBorder="1"/>
    <x:xf numFmtId="0" fontId="6" fillId="9" borderId="13" xfId="0" applyNumberFormat="1" applyFont="1" applyFill="1" applyBorder="1"/>
    <x:xf numFmtId="0" fontId="6" fillId="9" borderId="14" xfId="0" applyNumberFormat="1" applyFont="1" applyFill="1" applyBorder="1"/>
    <x:xf numFmtId="0" fontId="6" fillId="9" borderId="15" xfId="0" applyNumberFormat="1" applyFont="1" applyFill="1" applyBorder="1"/>
    <x:xf numFmtId="0" fontId="6" fillId="9" borderId="16" xfId="0" applyNumberFormat="1" applyFont="1" applyFill="1" applyBorder="1"/>
    <x:xf numFmtId="0" fontId="6" fillId="9" borderId="17" xfId="0" applyNumberFormat="1" applyFont="1" applyFill="1" applyBorder="1"/>
    <x:xf numFmtId="0" fontId="6" fillId="9" borderId="10" xfId="0" applyNumberFormat="1" applyFont="1" applyFill="1" applyBorder="1" applyAlignment="1">
      <x:alignment vertical="center"/>
    </x:xf>
    <x:xf numFmtId="0" fontId="6" fillId="9" borderId="11" xfId="0" applyNumberFormat="1" applyFont="1" applyFill="1" applyBorder="1" applyAlignment="1">
      <x:alignment vertical="center"/>
    </x:xf>
    <x:xf numFmtId="0" fontId="6" fillId="9" borderId="12" xfId="0" applyNumberFormat="1" applyFont="1" applyFill="1" applyBorder="1" applyAlignment="1">
      <x:alignment vertical="center"/>
    </x:xf>
    <x:xf numFmtId="0" fontId="6" fillId="9" borderId="13" xfId="0" applyNumberFormat="1" applyFont="1" applyFill="1" applyBorder="1" applyAlignment="1">
      <x:alignment vertical="center"/>
    </x:xf>
    <x:xf numFmtId="0" fontId="6" fillId="9" borderId="0" xfId="0" applyNumberFormat="1" applyFont="1" applyFill="1" applyBorder="1" applyAlignment="1">
      <x:alignment vertical="center"/>
    </x:xf>
    <x:xf numFmtId="0" fontId="6" fillId="9" borderId="14" xfId="0" applyNumberFormat="1" applyFont="1" applyFill="1" applyBorder="1" applyAlignment="1">
      <x:alignment vertical="center"/>
    </x:xf>
    <x:xf numFmtId="0" fontId="6" fillId="9" borderId="15" xfId="0" applyNumberFormat="1" applyFont="1" applyFill="1" applyBorder="1" applyAlignment="1">
      <x:alignment vertical="center"/>
    </x:xf>
    <x:xf numFmtId="0" fontId="6" fillId="9" borderId="16" xfId="0" applyNumberFormat="1" applyFont="1" applyFill="1" applyBorder="1" applyAlignment="1">
      <x:alignment vertical="center"/>
    </x:xf>
    <x:xf numFmtId="0" fontId="6" fillId="9" borderId="17" xfId="0" applyNumberFormat="1" applyFont="1" applyFill="1" applyBorder="1" applyAlignment="1">
      <x:alignment vertical="center"/>
    </x:xf>
    <x:xf numFmtId="0" fontId="0" fillId="9" borderId="1" xfId="0" applyNumberFormat="1" applyFont="1" applyFill="1" applyBorder="1"/>
    <x:xf numFmtId="0" fontId="6" fillId="9" borderId="1" xfId="0" applyNumberFormat="1" applyFont="1" applyFill="1" applyBorder="1"/>
    <x:xf numFmtId="0" fontId="6" fillId="9" borderId="18" xfId="0" applyNumberFormat="1" applyFont="1" applyFill="1" applyBorder="1"/>
    <x:xf numFmtId="0" fontId="6" fillId="9" borderId="19" xfId="0" applyNumberFormat="1" applyFont="1" applyFill="1" applyBorder="1"/>
    <x:xf numFmtId="0" fontId="6" fillId="9" borderId="20" xfId="0" applyNumberFormat="1" applyFont="1" applyFill="1" applyBorder="1"/>
    <x:xf numFmtId="0" fontId="6" fillId="9" borderId="21" xfId="0" applyNumberFormat="1" applyFont="1" applyFill="1" applyBorder="1"/>
    <x:xf numFmtId="0" fontId="6" fillId="9" borderId="22" xfId="0" applyNumberFormat="1" applyFont="1" applyFill="1" applyBorder="1"/>
    <x:xf numFmtId="0" fontId="6" fillId="9" borderId="23" xfId="0" applyNumberFormat="1" applyFont="1" applyFill="1" applyBorder="1"/>
    <x:xf numFmtId="0" fontId="6" fillId="9" borderId="24" xfId="0" applyNumberFormat="1" applyFont="1" applyFill="1" applyBorder="1"/>
    <x:xf numFmtId="0" fontId="6" fillId="9" borderId="25" xfId="0" applyNumberFormat="1" applyFont="1" applyFill="1" applyBorder="1"/>
    <x:xf numFmtId="0" fontId="6" fillId="9" borderId="18" xfId="0" applyNumberFormat="1" applyFont="1" applyFill="1" applyBorder="1" applyAlignment="1">
      <x:alignment vertical="center"/>
    </x:xf>
    <x:xf numFmtId="0" fontId="6" fillId="9" borderId="19" xfId="0" applyNumberFormat="1" applyFont="1" applyFill="1" applyBorder="1" applyAlignment="1">
      <x:alignment vertical="center"/>
    </x:xf>
    <x:xf numFmtId="0" fontId="6" fillId="9" borderId="20" xfId="0" applyNumberFormat="1" applyFont="1" applyFill="1" applyBorder="1" applyAlignment="1">
      <x:alignment vertical="center"/>
    </x:xf>
    <x:xf numFmtId="0" fontId="6" fillId="9" borderId="21" xfId="0" applyNumberFormat="1" applyFont="1" applyFill="1" applyBorder="1" applyAlignment="1">
      <x:alignment vertical="center"/>
    </x:xf>
    <x:xf numFmtId="0" fontId="6" fillId="9" borderId="1" xfId="0" applyNumberFormat="1" applyFont="1" applyFill="1" applyBorder="1" applyAlignment="1">
      <x:alignment vertical="center"/>
    </x:xf>
    <x:xf numFmtId="0" fontId="6" fillId="9" borderId="22" xfId="0" applyNumberFormat="1" applyFont="1" applyFill="1" applyBorder="1" applyAlignment="1">
      <x:alignment vertical="center"/>
    </x:xf>
    <x:xf numFmtId="0" fontId="6" fillId="9" borderId="23" xfId="0" applyNumberFormat="1" applyFont="1" applyFill="1" applyBorder="1" applyAlignment="1">
      <x:alignment vertical="center"/>
    </x:xf>
    <x:xf numFmtId="0" fontId="6" fillId="9" borderId="24" xfId="0" applyNumberFormat="1" applyFont="1" applyFill="1" applyBorder="1" applyAlignment="1">
      <x:alignment vertical="center"/>
    </x:xf>
    <x:xf numFmtId="0" fontId="6" fillId="9" borderId="25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/>
    <x:xf numFmtId="0" fontId="5" fillId="10" borderId="0" xfId="0" applyNumberFormat="1" applyFont="1" applyFill="1" applyBorder="1" applyAlignment="1">
      <x:alignment vertical="center"/>
    </x:xf>
    <x:xf numFmtId="206" fontId="4" fillId="4" borderId="14" xfId="0" applyNumberFormat="1" applyFont="1" applyFill="1" applyBorder="1" applyAlignment="1">
      <x:alignment vertical="center"/>
    </x:xf>
    <x:xf numFmtId="206" fontId="4" fillId="4" borderId="17" xfId="0" applyNumberFormat="1" applyFont="1" applyFill="1" applyBorder="1" applyAlignment="1">
      <x:alignment vertical="center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horizontal="left"/>
    </x:xf>
    <x:xf numFmtId="0" fontId="1" fillId="11" borderId="0" xfId="0" applyNumberFormat="1" applyFont="1" applyFill="1" applyBorder="1" applyAlignment="1">
      <x:alignment horizontal="left" vertical="center"/>
    </x:xf>
    <x:xf numFmtId="0" fontId="0" fillId="12" borderId="0" xfId="0" applyNumberFormat="1" applyFont="1" applyFill="1" applyBorder="1"/>
    <x:xf numFmtId="0" fontId="2" fillId="12" borderId="0" xfId="0" applyNumberFormat="1" applyFont="1" applyFill="1" applyBorder="1"/>
    <x:xf numFmtId="0" fontId="2" fillId="12" borderId="2" xfId="0" applyNumberFormat="1" applyFont="1" applyFill="1" applyBorder="1"/>
    <x:xf numFmtId="0" fontId="2" fillId="12" borderId="2" xfId="0" applyNumberFormat="1" applyFont="1" applyFill="1" applyBorder="1" applyAlignment="1">
      <x:alignment vertical="center"/>
    </x:xf>
    <x:xf numFmtId="0" fontId="4" fillId="12" borderId="0" xfId="0" applyNumberFormat="1" applyFont="1" applyFill="1" applyBorder="1"/>
    <x:xf numFmtId="0" fontId="4" fillId="12" borderId="4" xfId="0" applyNumberFormat="1" applyFont="1" applyFill="1" applyBorder="1"/>
    <x:xf numFmtId="0" fontId="4" fillId="12" borderId="6" xfId="0" applyNumberFormat="1" applyFont="1" applyFill="1" applyBorder="1"/>
    <x:xf numFmtId="0" fontId="4" fillId="12" borderId="4" xfId="0" applyNumberFormat="1" applyFont="1" applyFill="1" applyBorder="1" applyAlignment="1">
      <x:alignment wrapText="1"/>
    </x:xf>
    <x:xf numFmtId="0" fontId="4" fillId="12" borderId="6" xfId="0" applyNumberFormat="1" applyFont="1" applyFill="1" applyBorder="1" applyAlignment="1">
      <x:alignment wrapText="1"/>
    </x:xf>
    <x:xf numFmtId="0" fontId="4" fillId="12" borderId="4" xfId="0" applyNumberFormat="1" applyFont="1" applyFill="1" applyBorder="1" applyAlignment="1">
      <x:alignment vertical="center" wrapText="1"/>
    </x:xf>
    <x:xf numFmtId="0" fontId="4" fillId="12" borderId="6" xfId="0" applyNumberFormat="1" applyFont="1" applyFill="1" applyBorder="1" applyAlignment="1">
      <x:alignment vertical="center" wrapText="1"/>
    </x:xf>
    <x:xf numFmtId="0" fontId="5" fillId="12" borderId="0" xfId="0" applyNumberFormat="1" applyFont="1" applyFill="1" applyBorder="1"/>
    <x:xf numFmtId="0" fontId="5" fillId="12" borderId="4" xfId="0" applyNumberFormat="1" applyFont="1" applyFill="1" applyBorder="1"/>
    <x:xf numFmtId="0" fontId="5" fillId="12" borderId="6" xfId="0" applyNumberFormat="1" applyFont="1" applyFill="1" applyBorder="1"/>
    <x:xf numFmtId="0" fontId="5" fillId="12" borderId="4" xfId="0" applyNumberFormat="1" applyFont="1" applyFill="1" applyBorder="1" applyAlignment="1">
      <x:alignment wrapText="1"/>
    </x:xf>
    <x:xf numFmtId="0" fontId="5" fillId="12" borderId="6" xfId="0" applyNumberFormat="1" applyFont="1" applyFill="1" applyBorder="1" applyAlignment="1">
      <x:alignment wrapText="1"/>
    </x:xf>
    <x:xf numFmtId="0" fontId="5" fillId="12" borderId="4" xfId="0" applyNumberFormat="1" applyFont="1" applyFill="1" applyBorder="1" applyAlignment="1">
      <x:alignment vertical="center" wrapText="1"/>
    </x:xf>
    <x:xf numFmtId="0" fontId="5" fillId="12" borderId="6" xfId="0" applyNumberFormat="1" applyFont="1" applyFill="1" applyBorder="1" applyAlignment="1">
      <x:alignment vertical="center" wrapText="1"/>
    </x:xf>
    <x:xf numFmtId="0" fontId="0" fillId="13" borderId="0" xfId="0" applyNumberFormat="1" applyFont="1" applyFill="1" applyBorder="1"/>
    <x:xf numFmtId="0" fontId="4" fillId="13" borderId="0" xfId="0" applyNumberFormat="1" applyFont="1" applyFill="1" applyBorder="1"/>
    <x:xf numFmtId="0" fontId="4" fillId="13" borderId="4" xfId="0" applyNumberFormat="1" applyFont="1" applyFill="1" applyBorder="1"/>
    <x:xf numFmtId="0" fontId="4" fillId="13" borderId="5" xfId="0" applyNumberFormat="1" applyFont="1" applyFill="1" applyBorder="1"/>
    <x:xf numFmtId="0" fontId="4" fillId="13" borderId="6" xfId="0" applyNumberFormat="1" applyFont="1" applyFill="1" applyBorder="1"/>
    <x:xf numFmtId="0" fontId="4" fillId="13" borderId="4" xfId="0" applyNumberFormat="1" applyFont="1" applyFill="1" applyBorder="1" applyAlignment="1">
      <x:alignment wrapText="1"/>
    </x:xf>
    <x:xf numFmtId="0" fontId="4" fillId="13" borderId="5" xfId="0" applyNumberFormat="1" applyFont="1" applyFill="1" applyBorder="1" applyAlignment="1">
      <x:alignment wrapText="1"/>
    </x:xf>
    <x:xf numFmtId="0" fontId="4" fillId="13" borderId="6" xfId="0" applyNumberFormat="1" applyFont="1" applyFill="1" applyBorder="1" applyAlignment="1">
      <x:alignment wrapText="1"/>
    </x:xf>
    <x:xf numFmtId="0" fontId="4" fillId="13" borderId="4" xfId="0" applyNumberFormat="1" applyFont="1" applyFill="1" applyBorder="1" applyAlignment="1">
      <x:alignment vertical="center" wrapText="1"/>
    </x:xf>
    <x:xf numFmtId="0" fontId="4" fillId="13" borderId="5" xfId="0" applyNumberFormat="1" applyFont="1" applyFill="1" applyBorder="1" applyAlignment="1">
      <x:alignment vertical="center" wrapText="1"/>
    </x:xf>
    <x:xf numFmtId="0" fontId="4" fillId="13" borderId="6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6"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0F172A"/>
      </x:font>
      <x:fill>
        <x:patternFill>
          <x:bgColor rgb="FFF7FEE7"/>
        </x:patternFill>
      </x:fill>
    </x:dxf>
    <x:dxf>
      <x:font>
        <x:color rgb="FF0F172A"/>
      </x:font>
      <x:fill>
        <x:patternFill>
          <x:bgColor rgb="FFECFEFF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0F172A"/>
      </x:font>
      <x:fill>
        <x:patternFill>
          <x:bgColor rgb="FFF7FEE7"/>
        </x:patternFill>
      </x:fill>
    </x:dxf>
    <x:dxf>
      <x:font>
        <x:color rgb="FF0F172A"/>
      </x:font>
      <x:fill>
        <x:patternFill>
          <x:bgColor rgb="FFECFEFF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ill>
        <x:patternFill>
          <x:bgColor rgb="FFFFF7ED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ill>
        <x:patternFill>
          <x:bgColor rgb="FFFEF3C7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0F172A"/>
      </x:font>
      <x:fill>
        <x:patternFill>
          <x:bgColor rgb="FFF7FEE7"/>
        </x:patternFill>
      </x:fill>
    </x:dxf>
    <x:dxf>
      <x:font>
        <x:color rgb="FF0F172A"/>
      </x:font>
      <x:fill>
        <x:patternFill>
          <x:bgColor rgb="FFECFEFF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5045504e2343b2" /><Relationship Type="http://schemas.openxmlformats.org/officeDocument/2006/relationships/theme" Target="/xl/theme/theme1.xml" Id="Rf5240699efac4a8f" /><Relationship Type="http://schemas.openxmlformats.org/officeDocument/2006/relationships/sharedStrings" Target="/xl/sharedStrings.xml" Id="R38a5adae9c9b4c6e" /><Relationship Type="http://schemas.openxmlformats.org/officeDocument/2006/relationships/worksheet" Target="/xl/worksheets/sheet1.xml" Id="R9c390cdc52fa4ba7" /><Relationship Type="http://schemas.openxmlformats.org/officeDocument/2006/relationships/worksheet" Target="/xl/worksheets/sheet2.xml" Id="R078532eec230453c" /><Relationship Type="http://schemas.openxmlformats.org/officeDocument/2006/relationships/worksheet" Target="/xl/worksheets/sheet3.xml" Id="Re36a139054964fc2" /><Relationship Type="http://schemas.openxmlformats.org/officeDocument/2006/relationships/worksheet" Target="/xl/worksheets/sheet4.xml" Id="R230db1bf2680441a" /><Relationship Type="http://schemas.openxmlformats.org/officeDocument/2006/relationships/worksheet" Target="/xl/worksheets/sheet5.xml" Id="Rf892603419fc42f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1d414ba1ece4e0d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b973f0d6417847c2" /><Relationship Type="http://schemas.openxmlformats.org/officeDocument/2006/relationships/chart" Target="/xl/drawings/charts/chart3.xml" Id="R8c8f4e93ef214fb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Price-to-pocket waterfall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Base</c:v>
          </c:tx>
          <c:spPr>
            <a:noFill xmlns:a="http://schemas.openxmlformats.org/drawingml/2006/main"/>
          </c:spPr>
          <c:cat>
            <c:strRef>
              <c:f>='Calculator'!$A$56:$A$65</c:f>
              <c:strCache>
                <c:ptCount val="0"/>
              </c:strCache>
            </c:strRef>
          </c:cat>
          <c:val>
            <c:numRef>
              <c:f>='Calculator'!$B$56:$B$65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Increase</c:v>
          </c:tx>
          <c:spPr>
            <a:solidFill xmlns:a="http://schemas.openxmlformats.org/drawingml/2006/main">
              <a:srgbClr val="06B6D4"/>
            </a:solidFill>
          </c:spPr>
          <c:cat>
            <c:strRef>
              <c:f>='Calculator'!$A$56:$A$65</c:f>
              <c:strCache>
                <c:ptCount val="0"/>
              </c:strCache>
            </c:strRef>
          </c:cat>
          <c:val>
            <c:numRef>
              <c:f>='Calculator'!$C$56:$C$65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Decrease</c:v>
          </c:tx>
          <c:spPr>
            <a:solidFill xmlns:a="http://schemas.openxmlformats.org/drawingml/2006/main">
              <a:srgbClr val="DC2626"/>
            </a:solidFill>
          </c:spPr>
          <c:cat>
            <c:strRef>
              <c:f>='Calculator'!$A$56:$A$65</c:f>
              <c:strCache>
                <c:ptCount val="0"/>
              </c:strCache>
            </c:strRef>
          </c:cat>
          <c:val>
            <c:numRef>
              <c:f>='Calculator'!$D$56:$D$65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v>Subtotal</c:v>
          </c:tx>
          <c:spPr>
            <a:solidFill xmlns:a="http://schemas.openxmlformats.org/drawingml/2006/main">
              <a:srgbClr val="5B21B6"/>
            </a:solidFill>
          </c:spPr>
          <c:cat>
            <c:strRef>
              <c:f>='Calculator'!$A$56:$A$65</c:f>
              <c:strCache>
                <c:ptCount val="0"/>
              </c:strCache>
            </c:strRef>
          </c:cat>
          <c:val>
            <c:numRef>
              <c:f>='Calculator'!$E$56:$E$65</c:f>
              <c:numCache>
                <c:formatCode>General</c:formatCode>
                <c:ptCount val="0"/>
              </c:numCache>
            </c:numRef>
          </c:val>
        </c:ser>
        <c:ser>
          <c:idx val="4"/>
          <c:order val="4"/>
          <c:tx>
            <c:v>Final</c:v>
          </c:tx>
          <c:spPr>
            <a:solidFill xmlns:a="http://schemas.openxmlformats.org/drawingml/2006/main">
              <a:srgbClr val="A3E635"/>
            </a:solidFill>
          </c:spPr>
          <c:cat>
            <c:strRef>
              <c:f>='Calculator'!$A$56:$A$65</c:f>
              <c:strCache>
                <c:ptCount val="0"/>
              </c:strCache>
            </c:strRef>
          </c:cat>
          <c:val>
            <c:numRef>
              <c:f>='Calculator'!$F$56:$F$65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gapWidth val="55"/>
        <c:overlap val="10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Front-end vs pocket margin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Margin</c:v>
          </c:tx>
          <c:spPr>
            <a:solidFill xmlns:a="http://schemas.openxmlformats.org/drawingml/2006/main">
              <a:srgbClr val="5B21B6"/>
            </a:solidFill>
          </c:spPr>
          <c:cat>
            <c:strRef>
              <c:f>='Worked example'!$A$54:$A$55</c:f>
              <c:strCache>
                <c:ptCount val="2"/>
                <c:pt idx="0">
                  <c:v>Front-end margin</c:v>
                </c:pt>
                <c:pt idx="1">
                  <c:v>Pocket margin</c:v>
                </c:pt>
              </c:strCache>
            </c:strRef>
          </c:cat>
          <c:val>
            <c:numRef>
              <c:f>='Worked example'!$B$54:$B$55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gapWidth val="85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Illustrative price-to-pocket waterfall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Base</c:v>
          </c:tx>
          <c:spPr>
            <a:noFill xmlns:a="http://schemas.openxmlformats.org/drawingml/2006/main"/>
          </c:spPr>
          <c:cat>
            <c:strRef>
              <c:f>='Worked example'!$H$54:$H$63</c:f>
              <c:strCache>
                <c:ptCount val="0"/>
              </c:strCache>
            </c:strRef>
          </c:cat>
          <c:val>
            <c:numRef>
              <c:f>='Worked example'!$I$54:$I$63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Increase</c:v>
          </c:tx>
          <c:spPr>
            <a:solidFill xmlns:a="http://schemas.openxmlformats.org/drawingml/2006/main">
              <a:srgbClr val="06B6D4"/>
            </a:solidFill>
          </c:spPr>
          <c:cat>
            <c:strRef>
              <c:f>='Worked example'!$H$54:$H$63</c:f>
              <c:strCache>
                <c:ptCount val="0"/>
              </c:strCache>
            </c:strRef>
          </c:cat>
          <c:val>
            <c:numRef>
              <c:f>='Worked example'!$J$54:$J$63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Decrease</c:v>
          </c:tx>
          <c:spPr>
            <a:solidFill xmlns:a="http://schemas.openxmlformats.org/drawingml/2006/main">
              <a:srgbClr val="DC2626"/>
            </a:solidFill>
          </c:spPr>
          <c:cat>
            <c:strRef>
              <c:f>='Worked example'!$H$54:$H$63</c:f>
              <c:strCache>
                <c:ptCount val="0"/>
              </c:strCache>
            </c:strRef>
          </c:cat>
          <c:val>
            <c:numRef>
              <c:f>='Worked example'!$K$54:$K$63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v>Subtotal</c:v>
          </c:tx>
          <c:spPr>
            <a:solidFill xmlns:a="http://schemas.openxmlformats.org/drawingml/2006/main">
              <a:srgbClr val="5B21B6"/>
            </a:solidFill>
          </c:spPr>
          <c:cat>
            <c:strRef>
              <c:f>='Worked example'!$H$54:$H$63</c:f>
              <c:strCache>
                <c:ptCount val="0"/>
              </c:strCache>
            </c:strRef>
          </c:cat>
          <c:val>
            <c:numRef>
              <c:f>='Worked example'!$L$54:$L$63</c:f>
              <c:numCache>
                <c:formatCode>General</c:formatCode>
                <c:ptCount val="0"/>
              </c:numCache>
            </c:numRef>
          </c:val>
        </c:ser>
        <c:ser>
          <c:idx val="4"/>
          <c:order val="4"/>
          <c:tx>
            <c:v>Final</c:v>
          </c:tx>
          <c:spPr>
            <a:solidFill xmlns:a="http://schemas.openxmlformats.org/drawingml/2006/main">
              <a:srgbClr val="A3E635"/>
            </a:solidFill>
          </c:spPr>
          <c:cat>
            <c:strRef>
              <c:f>='Worked example'!$H$54:$H$63</c:f>
              <c:strCache>
                <c:ptCount val="0"/>
              </c:strCache>
            </c:strRef>
          </c:cat>
          <c:val>
            <c:numRef>
              <c:f>='Worked example'!$M$54:$M$63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gapWidth val="55"/>
        <c:overlap val="10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26</xdr:row>
      <xdr:rowOff>0</xdr:rowOff>
    </xdr:from>
    <xdr:ext cx="7810500" cy="371475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1d414ba1ece4e0d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0</xdr:colOff>
      <xdr:row>29</xdr:row>
      <xdr:rowOff>0</xdr:rowOff>
    </xdr:from>
    <xdr:ext cx="6858000" cy="314325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973f0d6417847c2"/>
        </a:graphicData>
      </a:graphic>
    </xdr:graphicFrame>
    <xdr:clientData/>
  </xdr:oneCellAnchor>
  <xdr:oneCellAnchor>
    <xdr:from>
      <xdr:col>7</xdr:col>
      <xdr:colOff>0</xdr:colOff>
      <xdr:row>29</xdr:row>
      <xdr:rowOff>0</xdr:rowOff>
    </xdr:from>
    <xdr:ext cx="8572500" cy="3143250"/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c8f4e93ef214fb0"/>
        </a:graphicData>
      </a:graphic>
    </xdr:graphicFrame>
    <xdr:clientData/>
  </xdr:oneCellAnchor>
</xdr:wsDr>
</file>

<file path=xl/tables/table1.xml><?xml version="1.0" encoding="utf-8"?>
<x:table xmlns:x="http://schemas.openxmlformats.org/spreadsheetml/2006/main" id="1" name="DealLogTable" displayName="DealLogTable" ref="A5:AG105" headerRowCount="1">
  <x:tableColumns count="33">
    <x:tableColumn id="1" name="Deal ID"/>
    <x:tableColumn id="2" name="Measurement date"/>
    <x:tableColumn id="3" name="Customer or segment"/>
    <x:tableColumn id="4" name="Currency"/>
    <x:tableColumn id="5" name="List price per unit"/>
    <x:tableColumn id="6" name="Quantity"/>
    <x:tableColumn id="7" name="Unit cost"/>
    <x:tableColumn id="8" name="Customer discount mode"/>
    <x:tableColumn id="9" name="Customer discount value"/>
    <x:tableColumn id="10" name="Promotional discount mode"/>
    <x:tableColumn id="11" name="Promotional discount value"/>
    <x:tableColumn id="12" name="Freight/service concession mode"/>
    <x:tableColumn id="13" name="Freight/service concession value"/>
    <x:tableColumn id="14" name="Customer rebate mode"/>
    <x:tableColumn id="15" name="Customer rebate value"/>
    <x:tableColumn id="16" name="Vendor incentive mode"/>
    <x:tableColumn id="17" name="Vendor incentive value"/>
    <x:tableColumn id="18" name="Minimum pocket margin"/>
    <x:tableColumn id="19" name="Gross list value"/>
    <x:tableColumn id="20" name="Invoice price"/>
    <x:tableColumn id="21" name="Pocket price"/>
    <x:tableColumn id="22" name="Base cost"/>
    <x:tableColumn id="23" name="Effective cost"/>
    <x:tableColumn id="24" name="Front-end gross profit"/>
    <x:tableColumn id="25" name="Front-end margin"/>
    <x:tableColumn id="26" name="Pocket gross profit"/>
    <x:tableColumn id="27" name="Pocket margin"/>
    <x:tableColumn id="28" name="Margin leakage"/>
    <x:tableColumn id="29" name="Leakage percentage"/>
    <x:tableColumn id="30" name="Margin delta"/>
    <x:tableColumn id="31" name="Largest customer-facing deduction"/>
    <x:tableColumn id="32" name="Approval signal"/>
    <x:tableColumn id="33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QuoteLinesTable" displayName="QuoteLinesTable" ref="A8:Y58" headerRowCount="1">
  <x:tableColumns count="25">
    <x:tableColumn id="1" name="Quote ID"/>
    <x:tableColumn id="2" name="Vendor"/>
    <x:tableColumn id="3" name="SKU"/>
    <x:tableColumn id="4" name="Description"/>
    <x:tableColumn id="5" name="Quantity"/>
    <x:tableColumn id="6" name="Unit list price"/>
    <x:tableColumn id="7" name="Gross list value"/>
    <x:tableColumn id="8" name="Customer discount %"/>
    <x:tableColumn id="9" name="Customer discount amount"/>
    <x:tableColumn id="10" name="Promotional discount %"/>
    <x:tableColumn id="11" name="Promotional discount amount"/>
    <x:tableColumn id="12" name="Invoice price"/>
    <x:tableColumn id="13" name="Freight/service concession amount"/>
    <x:tableColumn id="14" name="Customer rebate amount"/>
    <x:tableColumn id="15" name="Pocket price"/>
    <x:tableColumn id="16" name="Unit cost"/>
    <x:tableColumn id="17" name="Base cost"/>
    <x:tableColumn id="18" name="Vendor incentive amount"/>
    <x:tableColumn id="19" name="Effective cost"/>
    <x:tableColumn id="20" name="Front-end gross profit"/>
    <x:tableColumn id="21" name="Front-end margin"/>
    <x:tableColumn id="22" name="Pocket gross profit"/>
    <x:tableColumn id="23" name="Pocket margin"/>
    <x:tableColumn id="24" name="Margin leakage"/>
    <x:tableColumn id="25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PriceWaterfallDefinitionsTable" displayName="PriceWaterfallDefinitionsTable" ref="A6:C25" headerRowCount="1">
  <x:tableColumns count="3">
    <x:tableColumn id="1" name="Term"/>
    <x:tableColumn id="2" name="Definition"/>
    <x:tableColumn id="3" name="Calculation or measurement guidance"/>
  </x:tableColumns>
  <x:tableStyleInfo name="TableStyleMedium2" showRowStripes="1"/>
</x:table>
</file>

<file path=xl/tables/table4.xml><?xml version="1.0" encoding="utf-8"?>
<x:table xmlns:x="http://schemas.openxmlformats.org/spreadsheetml/2006/main" id="4" name="WorkedExampleLinesTable" displayName="WorkedExampleLinesTable" ref="A21:N25" headerRowCount="1">
  <x:tableColumns count="14">
    <x:tableColumn id="1" name="Quote line"/>
    <x:tableColumn id="2" name="Gross list value"/>
    <x:tableColumn id="3" name="Customer discount"/>
    <x:tableColumn id="4" name="Promotional discount"/>
    <x:tableColumn id="5" name="Invoice price"/>
    <x:tableColumn id="6" name="Freight/service"/>
    <x:tableColumn id="7" name="Customer rebate"/>
    <x:tableColumn id="8" name="Pocket price"/>
    <x:tableColumn id="9" name="Base cost"/>
    <x:tableColumn id="10" name="Vendor incentive"/>
    <x:tableColumn id="11" name="Effective cost"/>
    <x:tableColumn id="12" name="Front-end GP"/>
    <x:tableColumn id="13" name="Pocket GP"/>
    <x:tableColumn id="14" name="Leakag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5d025c6ffdd40d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01f6536567349e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40fa92d7c3a41e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e21b98f3257400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2.xml" Id="R47e413f71b1a4408" /><Relationship Type="http://schemas.openxmlformats.org/officeDocument/2006/relationships/table" Target="/xl/tables/table4.xml" Id="R2a8e9580d7d64d4a" /></Relationships>
</file>

<file path=xl/worksheets/sheet1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16" hidden="0" customWidth="1"/>
    <x:col min="3" max="3" width="16" hidden="0" customWidth="1"/>
    <x:col min="4" max="4" width="19" hidden="0" customWidth="1"/>
    <x:col min="5" max="5" width="23" hidden="0" customWidth="1"/>
    <x:col min="6" max="6" width="24" hidden="0" customWidth="1"/>
    <x:col min="7" max="7" width="3" hidden="0" customWidth="1"/>
    <x:col min="8" max="8" width="21" hidden="0" customWidth="1"/>
    <x:col min="9" max="9" width="4" hidden="0" customWidth="1"/>
    <x:col min="10" max="10" width="4" hidden="0" customWidth="1"/>
    <x:col min="11" max="11" width="21" hidden="0" customWidth="1"/>
    <x:col min="12" max="12" width="18" hidden="0" customWidth="1"/>
    <x:col min="13" max="13" width="4" hidden="0" customWidth="1"/>
    <x:col min="14" max="14" width="18" hidden="0" customWidth="1"/>
  </x:cols>
  <x:sheetData>
    <x:row r="1" ht="28" customHeight="1">
      <x:c r="A1" s="5" t="str">
        <x:v>Configure to WIN | B2B Price Waterfall Calculator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 ht="23" customHeight="1">
      <x:c r="A2" s="14" t="str">
        <x:v>Calculate invoice price, pocket price, front-end margin, pocket margin and margin leakage.</x:v>
      </x:c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  <x:c r="M2" s="14"/>
      <x:c r="N2" s="14"/>
    </x:row>
    <x:row r="3" ht="30" customHeight="1">
      <x:c r="A3" s="24" t="str">
        <x:v>This workbook calculates entered values locally. It does not provide an industry benchmark or recommended approval policy.</x:v>
      </x:c>
      <x:c r="B3" s="24"/>
      <x:c r="C3" s="24"/>
      <x:c r="D3" s="24"/>
      <x:c r="E3" s="24"/>
      <x:c r="F3" s="24"/>
      <x:c r="G3" s="24"/>
      <x:c r="H3" s="24"/>
      <x:c r="I3" s="24"/>
      <x:c r="J3" s="24"/>
      <x:c r="K3" s="24"/>
      <x:c r="L3" s="24"/>
      <x:c r="M3" s="24"/>
      <x:c r="N3" s="24"/>
    </x:row>
    <x:row r="5" ht="24" customHeight="1">
      <x:c r="A5" s="33" t="str">
        <x:v>A. Deal setup</x:v>
      </x:c>
      <x:c r="B5" s="33"/>
      <x:c r="C5" s="33"/>
      <x:c r="D5" s="33"/>
      <x:c r="E5" s="33"/>
      <x:c r="F5" s="33"/>
      <x:c r="H5" s="33" t="str">
        <x:v>D. KPI result panel</x:v>
      </x:c>
      <x:c r="I5" s="33"/>
      <x:c r="J5" s="33"/>
      <x:c r="K5" s="33"/>
      <x:c r="L5" s="33"/>
      <x:c r="M5" s="33"/>
      <x:c r="N5" s="33"/>
    </x:row>
    <x:row r="6">
      <x:c r="A6" s="40" t="str">
        <x:v>Currency</x:v>
      </x:c>
      <x:c r="B6" s="40" t="str">
        <x:v>EUR</x:v>
      </x:c>
      <x:c r="C6" s="52" t="str">
        <x:v>Select the currency used for this deal.</x:v>
      </x:c>
      <x:c r="D6" s="53"/>
      <x:c r="E6" s="53"/>
      <x:c r="F6" s="54"/>
      <x:c r="H6" s="100" t="str">
        <x:v>Gross list value</x:v>
      </x:c>
      <x:c r="I6" s="121"/>
      <x:c r="J6" s="121"/>
      <x:c r="K6" s="101"/>
      <x:c r="L6" s="136" t="str">
        <x:f>IF(OR($B$7="",$B$8=""),"",$B$7*$B$8)</x:f>
      </x:c>
      <x:c r="M6" s="128"/>
      <x:c r="N6" s="129"/>
    </x:row>
    <x:row r="7">
      <x:c r="A7" s="40" t="str">
        <x:v>List price per unit</x:v>
      </x:c>
      <x:c r="B7" s="66"/>
      <x:c r="C7" s="52" t="str">
        <x:v>Entered monetary value.</x:v>
      </x:c>
      <x:c r="D7" s="53"/>
      <x:c r="E7" s="53"/>
      <x:c r="F7" s="54"/>
      <x:c r="H7" s="100" t="str">
        <x:v>Invoice price</x:v>
      </x:c>
      <x:c r="I7" s="121"/>
      <x:c r="J7" s="121"/>
      <x:c r="K7" s="101"/>
      <x:c r="L7" s="136" t="str">
        <x:f>IF($L$6="","",$L$6-$D$13-$D$14)</x:f>
      </x:c>
      <x:c r="M7" s="128"/>
      <x:c r="N7" s="129"/>
    </x:row>
    <x:row r="8">
      <x:c r="A8" s="40" t="str">
        <x:v>Quantity</x:v>
      </x:c>
      <x:c r="B8" s="68"/>
      <x:c r="C8" s="52" t="str">
        <x:v>Number of units.</x:v>
      </x:c>
      <x:c r="D8" s="53"/>
      <x:c r="E8" s="53"/>
      <x:c r="F8" s="54"/>
      <x:c r="H8" s="100" t="str">
        <x:v>Pocket price</x:v>
      </x:c>
      <x:c r="I8" s="121"/>
      <x:c r="J8" s="121"/>
      <x:c r="K8" s="101"/>
      <x:c r="L8" s="136" t="str">
        <x:f>IF($L$7="","",$L$7-$D$15-$D$16)</x:f>
      </x:c>
      <x:c r="M8" s="128"/>
      <x:c r="N8" s="129"/>
    </x:row>
    <x:row r="9">
      <x:c r="A9" s="40" t="str">
        <x:v>Unit cost before vendor incentive</x:v>
      </x:c>
      <x:c r="B9" s="66"/>
      <x:c r="C9" s="52" t="str">
        <x:v>Entered monetary value per unit.</x:v>
      </x:c>
      <x:c r="D9" s="53"/>
      <x:c r="E9" s="53"/>
      <x:c r="F9" s="54"/>
      <x:c r="H9" s="100" t="str">
        <x:v>Base cost</x:v>
      </x:c>
      <x:c r="I9" s="121"/>
      <x:c r="J9" s="121"/>
      <x:c r="K9" s="101"/>
      <x:c r="L9" s="136" t="str">
        <x:f>IF(OR($B$9="",$B$8=""),"",$B$9*$B$8)</x:f>
      </x:c>
      <x:c r="M9" s="128"/>
      <x:c r="N9" s="129"/>
    </x:row>
    <x:row r="10">
      <x:c r="H10" s="100" t="str">
        <x:v>Effective cost</x:v>
      </x:c>
      <x:c r="I10" s="121"/>
      <x:c r="J10" s="121"/>
      <x:c r="K10" s="101"/>
      <x:c r="L10" s="136" t="str">
        <x:f>IF($L$9="","",$L$9-$D$17)</x:f>
      </x:c>
      <x:c r="M10" s="128"/>
      <x:c r="N10" s="129"/>
    </x:row>
    <x:row r="11" ht="24" customHeight="1">
      <x:c r="A11" s="33" t="str">
        <x:v>B. Adjustments</x:v>
      </x:c>
      <x:c r="B11" s="33"/>
      <x:c r="C11" s="33"/>
      <x:c r="D11" s="33"/>
      <x:c r="E11" s="33"/>
      <x:c r="F11" s="33"/>
      <x:c r="H11" s="100" t="str">
        <x:v>Front-end gross profit</x:v>
      </x:c>
      <x:c r="I11" s="121"/>
      <x:c r="J11" s="121"/>
      <x:c r="K11" s="101"/>
      <x:c r="L11" s="136" t="str">
        <x:f>IF(OR($L$7="",$L$9=""),"",$L$7-$L$9)</x:f>
      </x:c>
      <x:c r="M11" s="128"/>
      <x:c r="N11" s="129"/>
    </x:row>
    <x:row r="12">
      <x:c r="A12" s="81" t="str">
        <x:v>Adjustment</x:v>
      </x:c>
      <x:c r="B12" s="82" t="str">
        <x:v>Mode</x:v>
      </x:c>
      <x:c r="C12" s="82" t="str">
        <x:v>Entered value</x:v>
      </x:c>
      <x:c r="D12" s="82" t="str">
        <x:v>Calculated amount</x:v>
      </x:c>
      <x:c r="E12" s="82" t="str">
        <x:v>Percentage basis</x:v>
      </x:c>
      <x:c r="F12" s="83" t="str">
        <x:v>Measurement note</x:v>
      </x:c>
      <x:c r="H12" s="100" t="str">
        <x:v>Front-end margin</x:v>
      </x:c>
      <x:c r="I12" s="121"/>
      <x:c r="J12" s="121"/>
      <x:c r="K12" s="101"/>
      <x:c r="L12" s="138" t="str">
        <x:f>IFERROR($L$11/$L$7,"")</x:f>
      </x:c>
      <x:c r="M12" s="128"/>
      <x:c r="N12" s="129"/>
    </x:row>
    <x:row r="13">
      <x:c r="A13" s="40" t="str">
        <x:v>Customer discount</x:v>
      </x:c>
      <x:c r="B13" s="100" t="str">
        <x:v>Amount</x:v>
      </x:c>
      <x:c r="C13" s="114" t="n">
        <x:v>0</x:v>
      </x:c>
      <x:c r="D13" s="116" t="n">
        <x:f>IF($B$13="Percentage",IF($L$6="","",$L$6*$C$13),$C$13)</x:f>
        <x:v>0</x:v>
      </x:c>
      <x:c r="E13" s="52" t="str">
        <x:v>Gross list value</x:v>
      </x:c>
      <x:c r="F13" s="54" t="str">
        <x:v>Reduces invoice price.</x:v>
      </x:c>
      <x:c r="H13" s="100" t="str">
        <x:v>Pocket gross profit</x:v>
      </x:c>
      <x:c r="I13" s="121"/>
      <x:c r="J13" s="121"/>
      <x:c r="K13" s="101"/>
      <x:c r="L13" s="136" t="str">
        <x:f>IF(OR($L$8="",$L$10=""),"",$L$8-$L$10)</x:f>
      </x:c>
      <x:c r="M13" s="128"/>
      <x:c r="N13" s="129"/>
    </x:row>
    <x:row r="14">
      <x:c r="A14" s="40" t="str">
        <x:v>Promotional discount</x:v>
      </x:c>
      <x:c r="B14" s="100" t="str">
        <x:v>Amount</x:v>
      </x:c>
      <x:c r="C14" s="114" t="n">
        <x:v>0</x:v>
      </x:c>
      <x:c r="D14" s="116" t="n">
        <x:f>IF($B$14="Percentage",IF($L$6="","",$L$6*$C$14),$C$14)</x:f>
        <x:v>0</x:v>
      </x:c>
      <x:c r="E14" s="52" t="str">
        <x:v>Gross list value</x:v>
      </x:c>
      <x:c r="F14" s="54" t="str">
        <x:v>Reduces invoice price.</x:v>
      </x:c>
      <x:c r="H14" s="100" t="str">
        <x:v>Pocket margin</x:v>
      </x:c>
      <x:c r="I14" s="121"/>
      <x:c r="J14" s="121"/>
      <x:c r="K14" s="101"/>
      <x:c r="L14" s="138" t="str">
        <x:f>IFERROR($L$13/$L$8,"")</x:f>
      </x:c>
      <x:c r="M14" s="128"/>
      <x:c r="N14" s="129"/>
    </x:row>
    <x:row r="15">
      <x:c r="A15" s="40" t="str">
        <x:v>Freight or service concession</x:v>
      </x:c>
      <x:c r="B15" s="100" t="str">
        <x:v>Amount</x:v>
      </x:c>
      <x:c r="C15" s="114" t="n">
        <x:v>0</x:v>
      </x:c>
      <x:c r="D15" s="116" t="n">
        <x:f>IF($B$15="Percentage",IF($L$7="","",$L$7*$C$15),$C$15)</x:f>
        <x:v>0</x:v>
      </x:c>
      <x:c r="E15" s="52" t="str">
        <x:v>Invoice price</x:v>
      </x:c>
      <x:c r="F15" s="54" t="str">
        <x:v>Reduces pocket price.</x:v>
      </x:c>
      <x:c r="H15" s="100" t="str">
        <x:v>Margin leakage</x:v>
      </x:c>
      <x:c r="I15" s="121"/>
      <x:c r="J15" s="121"/>
      <x:c r="K15" s="101"/>
      <x:c r="L15" s="136" t="str">
        <x:f>IF(OR($L$6="",$L$8=""),"",$L$6-$L$8)</x:f>
      </x:c>
      <x:c r="M15" s="128"/>
      <x:c r="N15" s="129"/>
    </x:row>
    <x:row r="16">
      <x:c r="A16" s="40" t="str">
        <x:v>Customer rebate</x:v>
      </x:c>
      <x:c r="B16" s="100" t="str">
        <x:v>Amount</x:v>
      </x:c>
      <x:c r="C16" s="114" t="n">
        <x:v>0</x:v>
      </x:c>
      <x:c r="D16" s="116" t="n">
        <x:f>IF($B$16="Percentage",IF($L$7="","",$L$7*$C$16),$C$16)</x:f>
        <x:v>0</x:v>
      </x:c>
      <x:c r="E16" s="52" t="str">
        <x:v>Invoice price</x:v>
      </x:c>
      <x:c r="F16" s="54" t="str">
        <x:v>Customer-facing off-invoice benefit or credit.</x:v>
      </x:c>
      <x:c r="H16" s="100" t="str">
        <x:v>Leakage percentage</x:v>
      </x:c>
      <x:c r="I16" s="121"/>
      <x:c r="J16" s="121"/>
      <x:c r="K16" s="101"/>
      <x:c r="L16" s="138" t="str">
        <x:f>IFERROR($L$15/$L$6,"")</x:f>
      </x:c>
      <x:c r="M16" s="128"/>
      <x:c r="N16" s="129"/>
    </x:row>
    <x:row r="17">
      <x:c r="A17" s="40" t="str">
        <x:v>Vendor incentive received</x:v>
      </x:c>
      <x:c r="B17" s="100" t="str">
        <x:v>Amount</x:v>
      </x:c>
      <x:c r="C17" s="114" t="n">
        <x:v>0</x:v>
      </x:c>
      <x:c r="D17" s="116" t="n">
        <x:f>IF($B$17="Percentage",IF($L$9="","",$L$9*$C$17),$C$17)</x:f>
        <x:v>0</x:v>
      </x:c>
      <x:c r="E17" s="52" t="str">
        <x:v>Base cost</x:v>
      </x:c>
      <x:c r="F17" s="54" t="str">
        <x:v>Supplier-side benefit that reduces effective cost.</x:v>
      </x:c>
      <x:c r="H17" s="100" t="str">
        <x:v>Margin delta</x:v>
      </x:c>
      <x:c r="I17" s="121"/>
      <x:c r="J17" s="121"/>
      <x:c r="K17" s="101"/>
      <x:c r="L17" s="138" t="str">
        <x:f>IF(OR($L$12="",$L$14=""),"",$L$14-$L$12)</x:f>
      </x:c>
      <x:c r="M17" s="128"/>
      <x:c r="N17" s="129"/>
    </x:row>
    <x:row r="18">
      <x:c r="H18" s="100" t="str">
        <x:v>Approval signal</x:v>
      </x:c>
      <x:c r="I18" s="121"/>
      <x:c r="J18" s="121"/>
      <x:c r="K18" s="101"/>
      <x:c r="L18" s="140" t="str">
        <x:f>IF($L$14="","",IF($B$20="","No threshold set",IF($L$14&gt;=$B$20,"Within configured threshold","Commercial review required")))</x:f>
      </x:c>
      <x:c r="M18" s="141"/>
      <x:c r="N18" s="142"/>
    </x:row>
    <x:row r="19" ht="24" customHeight="1">
      <x:c r="A19" s="33" t="str">
        <x:v>C. Optional threshold</x:v>
      </x:c>
      <x:c r="B19" s="33"/>
      <x:c r="C19" s="33"/>
      <x:c r="D19" s="33"/>
      <x:c r="E19" s="33"/>
      <x:c r="F19" s="33"/>
    </x:row>
    <x:row r="20" ht="24" customHeight="1">
      <x:c r="A20" s="40" t="str">
        <x:v>Minimum acceptable pocket margin %</x:v>
      </x:c>
      <x:c r="B20" s="118"/>
      <x:c r="C20" s="52" t="str">
        <x:v>Leave blank to calculate without an approval threshold.</x:v>
      </x:c>
      <x:c r="D20" s="53"/>
      <x:c r="E20" s="53"/>
      <x:c r="F20" s="54"/>
      <x:c r="H20" s="33" t="str">
        <x:v>G. Approval panel</x:v>
      </x:c>
      <x:c r="I20" s="33"/>
      <x:c r="J20" s="33"/>
      <x:c r="K20" s="33"/>
      <x:c r="L20" s="33"/>
      <x:c r="M20" s="33"/>
      <x:c r="N20" s="33"/>
    </x:row>
    <x:row r="21">
      <x:c r="H21" s="100" t="str">
        <x:v>Minimum threshold</x:v>
      </x:c>
      <x:c r="I21" s="121"/>
      <x:c r="J21" s="121"/>
      <x:c r="K21" s="101"/>
      <x:c r="L21" s="138" t="str">
        <x:f>IF($B$20="","Not set",$B$20)</x:f>
        <x:v>Not set</x:v>
      </x:c>
      <x:c r="M21" s="146"/>
      <x:c r="N21" s="147"/>
    </x:row>
    <x:row r="22" ht="24" customHeight="1">
      <x:c r="A22" s="33" t="str">
        <x:v>H. Instructions</x:v>
      </x:c>
      <x:c r="B22" s="33"/>
      <x:c r="C22" s="33"/>
      <x:c r="D22" s="33"/>
      <x:c r="E22" s="33"/>
      <x:c r="F22" s="33"/>
      <x:c r="H22" s="100" t="str">
        <x:v>Calculated pocket margin</x:v>
      </x:c>
      <x:c r="I22" s="121"/>
      <x:c r="J22" s="121"/>
      <x:c r="K22" s="101"/>
      <x:c r="L22" s="138" t="str">
        <x:f>IF($L$14="","",$L$14)</x:f>
      </x:c>
      <x:c r="M22" s="146"/>
      <x:c r="N22" s="147"/>
    </x:row>
    <x:row r="23">
      <x:c r="A23" s="100" t="str">
        <x:v>1. Select currency.</x:v>
      </x:c>
      <x:c r="B23" s="121"/>
      <x:c r="C23" s="121"/>
      <x:c r="D23" s="121"/>
      <x:c r="E23" s="121"/>
      <x:c r="F23" s="101"/>
      <x:c r="H23" s="100" t="str">
        <x:v>Difference in percentage points</x:v>
      </x:c>
      <x:c r="I23" s="121"/>
      <x:c r="J23" s="121"/>
      <x:c r="K23" s="101"/>
      <x:c r="L23" s="138" t="str">
        <x:f>IF(OR($B$20="",$L$14=""),"",$L$14-$B$20)</x:f>
      </x:c>
      <x:c r="M23" s="146"/>
      <x:c r="N23" s="147"/>
    </x:row>
    <x:row r="24">
      <x:c r="A24" s="100" t="str">
        <x:v>2. Enter list price, quantity and cost.</x:v>
      </x:c>
      <x:c r="B24" s="121"/>
      <x:c r="C24" s="121"/>
      <x:c r="D24" s="121"/>
      <x:c r="E24" s="121"/>
      <x:c r="F24" s="101"/>
      <x:c r="H24" s="100" t="str">
        <x:v>Signal</x:v>
      </x:c>
      <x:c r="I24" s="121"/>
      <x:c r="J24" s="121"/>
      <x:c r="K24" s="101"/>
      <x:c r="L24" s="150" t="str">
        <x:f>IF($L$18="","",$L$18)</x:f>
      </x:c>
      <x:c r="M24" s="151"/>
      <x:c r="N24" s="152"/>
    </x:row>
    <x:row r="25">
      <x:c r="A25" s="100" t="str">
        <x:v>3. Choose Amount or Percentage for each adjustment.</x:v>
      </x:c>
      <x:c r="B25" s="121"/>
      <x:c r="C25" s="121"/>
      <x:c r="D25" s="121"/>
      <x:c r="E25" s="121"/>
      <x:c r="F25" s="101"/>
    </x:row>
    <x:row r="26">
      <x:c r="A26" s="100" t="str">
        <x:v>4. Enter an optional pocket-margin threshold.</x:v>
      </x:c>
      <x:c r="B26" s="121"/>
      <x:c r="C26" s="121"/>
      <x:c r="D26" s="121"/>
      <x:c r="E26" s="121"/>
      <x:c r="F26" s="101"/>
    </x:row>
    <x:row r="27">
      <x:c r="A27" s="100" t="str">
        <x:v>5. Review the waterfall, margins and signal.</x:v>
      </x:c>
      <x:c r="B27" s="121"/>
      <x:c r="C27" s="121"/>
      <x:c r="D27" s="121"/>
      <x:c r="E27" s="121"/>
      <x:c r="F27" s="101"/>
    </x:row>
    <x:row r="30" ht="24" customHeight="1">
      <x:c r="A30" s="33" t="str">
        <x:v>E. Calculation table</x:v>
      </x:c>
      <x:c r="B30" s="33"/>
      <x:c r="C30" s="33"/>
      <x:c r="D30" s="33"/>
      <x:c r="E30" s="33"/>
      <x:c r="F30" s="33"/>
    </x:row>
    <x:row r="31">
      <x:c r="A31" s="81" t="str">
        <x:v>Stage</x:v>
      </x:c>
      <x:c r="B31" s="82" t="str">
        <x:v>Starting point</x:v>
      </x:c>
      <x:c r="C31" s="82" t="str">
        <x:v>Increase</x:v>
      </x:c>
      <x:c r="D31" s="82" t="str">
        <x:v>Decrease</x:v>
      </x:c>
      <x:c r="E31" s="82" t="str">
        <x:v>Ending value</x:v>
      </x:c>
      <x:c r="F31" s="83" t="str">
        <x:v>Explanation</x:v>
      </x:c>
    </x:row>
    <x:row r="32">
      <x:c r="A32" s="100" t="str">
        <x:v>Gross list value</x:v>
      </x:c>
      <x:c r="B32" s="158" t="n">
        <x:v>0</x:v>
      </x:c>
      <x:c r="C32" s="158" t="n">
        <x:v>0</x:v>
      </x:c>
      <x:c r="D32" s="158" t="n">
        <x:v>0</x:v>
      </x:c>
      <x:c r="E32" s="158" t="n">
        <x:f>$L$6</x:f>
        <x:v>0</x:v>
      </x:c>
      <x:c r="F32" s="101" t="str">
        <x:v>List price per unit × quantity.</x:v>
      </x:c>
    </x:row>
    <x:row r="33">
      <x:c r="A33" s="100" t="str">
        <x:v>Customer discount</x:v>
      </x:c>
      <x:c r="B33" s="158" t="n">
        <x:f>$L$6</x:f>
        <x:v>0</x:v>
      </x:c>
      <x:c r="C33" s="158" t="n">
        <x:v>0</x:v>
      </x:c>
      <x:c r="D33" s="158" t="n">
        <x:f>$D$13</x:f>
        <x:v>0</x:v>
      </x:c>
      <x:c r="E33" s="158" t="n">
        <x:f>$L$6-$D$13</x:f>
        <x:v>0</x:v>
      </x:c>
      <x:c r="F33" s="101" t="str">
        <x:v>Customer-facing deduction.</x:v>
      </x:c>
    </x:row>
    <x:row r="34">
      <x:c r="A34" s="100" t="str">
        <x:v>Promotional discount</x:v>
      </x:c>
      <x:c r="B34" s="158" t="n">
        <x:f>$L$6-$D$13</x:f>
        <x:v>0</x:v>
      </x:c>
      <x:c r="C34" s="158" t="n">
        <x:v>0</x:v>
      </x:c>
      <x:c r="D34" s="158" t="n">
        <x:f>$D$14</x:f>
        <x:v>0</x:v>
      </x:c>
      <x:c r="E34" s="158" t="n">
        <x:f>$L$7</x:f>
        <x:v>0</x:v>
      </x:c>
      <x:c r="F34" s="101" t="str">
        <x:v>Promotional deduction.</x:v>
      </x:c>
    </x:row>
    <x:row r="35">
      <x:c r="A35" s="100" t="str">
        <x:v>Invoice price</x:v>
      </x:c>
      <x:c r="B35" s="158" t="n">
        <x:v>0</x:v>
      </x:c>
      <x:c r="C35" s="158" t="n">
        <x:v>0</x:v>
      </x:c>
      <x:c r="D35" s="158" t="n">
        <x:v>0</x:v>
      </x:c>
      <x:c r="E35" s="158" t="n">
        <x:f>$L$7</x:f>
        <x:v>0</x:v>
      </x:c>
      <x:c r="F35" s="101" t="str">
        <x:v>Gross list value less invoice discounts.</x:v>
      </x:c>
    </x:row>
    <x:row r="36">
      <x:c r="A36" s="100" t="str">
        <x:v>Freight/service concession</x:v>
      </x:c>
      <x:c r="B36" s="158" t="n">
        <x:f>$L$7</x:f>
        <x:v>0</x:v>
      </x:c>
      <x:c r="C36" s="158" t="n">
        <x:v>0</x:v>
      </x:c>
      <x:c r="D36" s="158" t="n">
        <x:f>$D$15</x:f>
        <x:v>0</x:v>
      </x:c>
      <x:c r="E36" s="158" t="n">
        <x:f>$L$7-$D$15</x:f>
        <x:v>0</x:v>
      </x:c>
      <x:c r="F36" s="101" t="str">
        <x:v>Customer-facing concession.</x:v>
      </x:c>
    </x:row>
    <x:row r="37">
      <x:c r="A37" s="100" t="str">
        <x:v>Customer rebate</x:v>
      </x:c>
      <x:c r="B37" s="158" t="n">
        <x:f>$L$7-$D$15</x:f>
        <x:v>0</x:v>
      </x:c>
      <x:c r="C37" s="158" t="n">
        <x:v>0</x:v>
      </x:c>
      <x:c r="D37" s="158" t="n">
        <x:f>$D$16</x:f>
        <x:v>0</x:v>
      </x:c>
      <x:c r="E37" s="158" t="n">
        <x:f>$L$8</x:f>
        <x:v>0</x:v>
      </x:c>
      <x:c r="F37" s="101" t="str">
        <x:v>Off-invoice customer benefit.</x:v>
      </x:c>
    </x:row>
    <x:row r="38">
      <x:c r="A38" s="100" t="str">
        <x:v>Pocket price</x:v>
      </x:c>
      <x:c r="B38" s="158" t="n">
        <x:v>0</x:v>
      </x:c>
      <x:c r="C38" s="158" t="n">
        <x:v>0</x:v>
      </x:c>
      <x:c r="D38" s="158" t="n">
        <x:v>0</x:v>
      </x:c>
      <x:c r="E38" s="158" t="n">
        <x:f>$L$8</x:f>
        <x:v>0</x:v>
      </x:c>
      <x:c r="F38" s="101" t="str">
        <x:v>Net customer value after all deductions.</x:v>
      </x:c>
    </x:row>
    <x:row r="39">
      <x:c r="A39" s="100" t="str">
        <x:v>Base cost</x:v>
      </x:c>
      <x:c r="B39" s="158" t="n">
        <x:f>$L$8</x:f>
        <x:v>0</x:v>
      </x:c>
      <x:c r="C39" s="158" t="n">
        <x:v>0</x:v>
      </x:c>
      <x:c r="D39" s="158" t="n">
        <x:f>$L$9</x:f>
        <x:v>0</x:v>
      </x:c>
      <x:c r="E39" s="158" t="n">
        <x:f>$L$8-$L$9</x:f>
        <x:v>0</x:v>
      </x:c>
      <x:c r="F39" s="101" t="str">
        <x:v>Cost before supplier incentive.</x:v>
      </x:c>
    </x:row>
    <x:row r="40">
      <x:c r="A40" s="100" t="str">
        <x:v>Vendor incentive</x:v>
      </x:c>
      <x:c r="B40" s="158" t="n">
        <x:f>$L$8-$L$9</x:f>
        <x:v>0</x:v>
      </x:c>
      <x:c r="C40" s="158" t="n">
        <x:f>$D$17</x:f>
        <x:v>0</x:v>
      </x:c>
      <x:c r="D40" s="158" t="n">
        <x:v>0</x:v>
      </x:c>
      <x:c r="E40" s="158" t="n">
        <x:f>$L$13</x:f>
        <x:v>0</x:v>
      </x:c>
      <x:c r="F40" s="101" t="str">
        <x:v>Supplier-side benefit.</x:v>
      </x:c>
    </x:row>
    <x:row r="41">
      <x:c r="A41" s="100" t="str">
        <x:v>Pocket gross profit</x:v>
      </x:c>
      <x:c r="B41" s="158" t="n">
        <x:v>0</x:v>
      </x:c>
      <x:c r="C41" s="158" t="n">
        <x:v>0</x:v>
      </x:c>
      <x:c r="D41" s="158" t="n">
        <x:v>0</x:v>
      </x:c>
      <x:c r="E41" s="158" t="n">
        <x:f>$L$13</x:f>
        <x:v>0</x:v>
      </x:c>
      <x:c r="F41" s="101" t="str">
        <x:v>Pocket price less effective cost.</x:v>
      </x:c>
    </x:row>
    <x:row r="47" ht="24" customHeight="1">
      <x:c r="A47" s="33" t="str">
        <x:v>Learn more</x:v>
      </x:c>
      <x:c r="B47" s="33"/>
      <x:c r="C47" s="33"/>
      <x:c r="D47" s="33"/>
      <x:c r="E47" s="33"/>
      <x:c r="F47" s="33"/>
    </x:row>
    <x:row r="48">
      <x:c r="A48" s="485" t="str">
        <x:v>https://configure.win/resources/price-waterfall-calculator</x:v>
      </x:c>
    </x:row>
    <x:row r="49">
      <x:c r="A49" s="485" t="str">
        <x:v>https://configure.win/price-waterfall-software</x:v>
      </x:c>
    </x:row>
    <x:row r="55">
      <x:c r="A55" s="81" t="str">
        <x:v>Stage</x:v>
      </x:c>
      <x:c r="B55" s="82" t="str">
        <x:v>Base</x:v>
      </x:c>
      <x:c r="C55" s="82" t="str">
        <x:v>Increase</x:v>
      </x:c>
      <x:c r="D55" s="82" t="str">
        <x:v>Decrease</x:v>
      </x:c>
      <x:c r="E55" s="82" t="str">
        <x:v>Subtotal</x:v>
      </x:c>
      <x:c r="F55" s="83" t="str">
        <x:v>Final</x:v>
      </x:c>
    </x:row>
    <x:row r="56">
      <x:c r="A56" s="100" t="str">
        <x:v>Gross list value</x:v>
      </x:c>
      <x:c r="B56" s="156" t="n">
        <x:v>0</x:v>
      </x:c>
      <x:c r="C56" s="156" t="n">
        <x:v>0</x:v>
      </x:c>
      <x:c r="D56" s="156" t="n">
        <x:v>0</x:v>
      </x:c>
      <x:c r="E56" s="156" t="n">
        <x:f>$L$6</x:f>
        <x:v>0</x:v>
      </x:c>
      <x:c r="F56" s="114" t="n">
        <x:v>0</x:v>
      </x:c>
    </x:row>
    <x:row r="57">
      <x:c r="A57" s="100" t="str">
        <x:v>Customer discount</x:v>
      </x:c>
      <x:c r="B57" s="156" t="n">
        <x:f>$L$6-$D$13</x:f>
        <x:v>0</x:v>
      </x:c>
      <x:c r="C57" s="156" t="n">
        <x:v>0</x:v>
      </x:c>
      <x:c r="D57" s="156" t="n">
        <x:f>$D$13</x:f>
        <x:v>0</x:v>
      </x:c>
      <x:c r="E57" s="156" t="n">
        <x:v>0</x:v>
      </x:c>
      <x:c r="F57" s="114" t="n">
        <x:v>0</x:v>
      </x:c>
    </x:row>
    <x:row r="58">
      <x:c r="A58" s="100" t="str">
        <x:v>Promotional discount</x:v>
      </x:c>
      <x:c r="B58" s="156" t="n">
        <x:f>$L$7</x:f>
        <x:v>0</x:v>
      </x:c>
      <x:c r="C58" s="156" t="n">
        <x:v>0</x:v>
      </x:c>
      <x:c r="D58" s="156" t="n">
        <x:f>$D$14</x:f>
        <x:v>0</x:v>
      </x:c>
      <x:c r="E58" s="156" t="n">
        <x:v>0</x:v>
      </x:c>
      <x:c r="F58" s="114" t="n">
        <x:v>0</x:v>
      </x:c>
    </x:row>
    <x:row r="59">
      <x:c r="A59" s="100" t="str">
        <x:v>Invoice price</x:v>
      </x:c>
      <x:c r="B59" s="156" t="n">
        <x:v>0</x:v>
      </x:c>
      <x:c r="C59" s="156" t="n">
        <x:v>0</x:v>
      </x:c>
      <x:c r="D59" s="156" t="n">
        <x:v>0</x:v>
      </x:c>
      <x:c r="E59" s="156" t="n">
        <x:f>$L$7</x:f>
        <x:v>0</x:v>
      </x:c>
      <x:c r="F59" s="114" t="n">
        <x:v>0</x:v>
      </x:c>
    </x:row>
    <x:row r="60">
      <x:c r="A60" s="100" t="str">
        <x:v>Freight/service concession</x:v>
      </x:c>
      <x:c r="B60" s="156" t="n">
        <x:f>$L$7-$D$15</x:f>
        <x:v>0</x:v>
      </x:c>
      <x:c r="C60" s="156" t="n">
        <x:v>0</x:v>
      </x:c>
      <x:c r="D60" s="156" t="n">
        <x:f>$D$15</x:f>
        <x:v>0</x:v>
      </x:c>
      <x:c r="E60" s="156" t="n">
        <x:v>0</x:v>
      </x:c>
      <x:c r="F60" s="114" t="n">
        <x:v>0</x:v>
      </x:c>
    </x:row>
    <x:row r="61">
      <x:c r="A61" s="100" t="str">
        <x:v>Customer rebate</x:v>
      </x:c>
      <x:c r="B61" s="156" t="n">
        <x:f>$L$8</x:f>
        <x:v>0</x:v>
      </x:c>
      <x:c r="C61" s="156" t="n">
        <x:v>0</x:v>
      </x:c>
      <x:c r="D61" s="156" t="n">
        <x:f>$D$16</x:f>
        <x:v>0</x:v>
      </x:c>
      <x:c r="E61" s="156" t="n">
        <x:v>0</x:v>
      </x:c>
      <x:c r="F61" s="114" t="n">
        <x:v>0</x:v>
      </x:c>
    </x:row>
    <x:row r="62">
      <x:c r="A62" s="100" t="str">
        <x:v>Pocket price</x:v>
      </x:c>
      <x:c r="B62" s="156" t="n">
        <x:v>0</x:v>
      </x:c>
      <x:c r="C62" s="156" t="n">
        <x:v>0</x:v>
      </x:c>
      <x:c r="D62" s="156" t="n">
        <x:v>0</x:v>
      </x:c>
      <x:c r="E62" s="156" t="n">
        <x:f>$L$8</x:f>
        <x:v>0</x:v>
      </x:c>
      <x:c r="F62" s="114" t="n">
        <x:v>0</x:v>
      </x:c>
    </x:row>
    <x:row r="63">
      <x:c r="A63" s="100" t="str">
        <x:v>Base cost</x:v>
      </x:c>
      <x:c r="B63" s="156" t="n">
        <x:f>$L$8-$L$9</x:f>
        <x:v>0</x:v>
      </x:c>
      <x:c r="C63" s="156" t="n">
        <x:v>0</x:v>
      </x:c>
      <x:c r="D63" s="156" t="n">
        <x:f>$L$9</x:f>
        <x:v>0</x:v>
      </x:c>
      <x:c r="E63" s="156" t="n">
        <x:v>0</x:v>
      </x:c>
      <x:c r="F63" s="114" t="n">
        <x:v>0</x:v>
      </x:c>
    </x:row>
    <x:row r="64">
      <x:c r="A64" s="100" t="str">
        <x:v>Vendor incentive</x:v>
      </x:c>
      <x:c r="B64" s="156" t="n">
        <x:f>$L$8-$L$9</x:f>
        <x:v>0</x:v>
      </x:c>
      <x:c r="C64" s="156" t="n">
        <x:f>$D$17</x:f>
        <x:v>0</x:v>
      </x:c>
      <x:c r="D64" s="156" t="n">
        <x:v>0</x:v>
      </x:c>
      <x:c r="E64" s="156" t="n">
        <x:v>0</x:v>
      </x:c>
      <x:c r="F64" s="114" t="n">
        <x:v>0</x:v>
      </x:c>
    </x:row>
    <x:row r="65">
      <x:c r="A65" s="100" t="str">
        <x:v>Pocket gross profit</x:v>
      </x:c>
      <x:c r="B65" s="156" t="n">
        <x:v>0</x:v>
      </x:c>
      <x:c r="C65" s="156" t="n">
        <x:v>0</x:v>
      </x:c>
      <x:c r="D65" s="156" t="n">
        <x:v>0</x:v>
      </x:c>
      <x:c r="E65" s="156" t="n">
        <x:v>0</x:v>
      </x:c>
      <x:c r="F65" s="114" t="n">
        <x:f>$L$13</x:f>
        <x:v>0</x:v>
      </x:c>
    </x:row>
  </x:sheetData>
  <x:mergeCells>
    <x:mergeCell ref="A1:N1"/>
    <x:mergeCell ref="A2:N2"/>
    <x:mergeCell ref="A3:N3"/>
    <x:mergeCell ref="A5:F5"/>
    <x:mergeCell ref="C6:F6"/>
    <x:mergeCell ref="C7:F7"/>
    <x:mergeCell ref="C8:F8"/>
    <x:mergeCell ref="C9:F9"/>
    <x:mergeCell ref="A11:F11"/>
    <x:mergeCell ref="A19:F19"/>
    <x:mergeCell ref="C20:F20"/>
    <x:mergeCell ref="A22:F22"/>
    <x:mergeCell ref="A23:F23"/>
    <x:mergeCell ref="A24:F24"/>
    <x:mergeCell ref="A25:F25"/>
    <x:mergeCell ref="A26:F26"/>
    <x:mergeCell ref="A27:F27"/>
    <x:mergeCell ref="H5:N5"/>
    <x:mergeCell ref="H6:K6"/>
    <x:mergeCell ref="L6:N6"/>
    <x:mergeCell ref="H7:K7"/>
    <x:mergeCell ref="L7:N7"/>
    <x:mergeCell ref="H8:K8"/>
    <x:mergeCell ref="L8:N8"/>
    <x:mergeCell ref="H9:K9"/>
    <x:mergeCell ref="L9:N9"/>
    <x:mergeCell ref="H10:K10"/>
    <x:mergeCell ref="L10:N10"/>
    <x:mergeCell ref="H11:K11"/>
    <x:mergeCell ref="L11:N11"/>
    <x:mergeCell ref="H12:K12"/>
    <x:mergeCell ref="L12:N12"/>
    <x:mergeCell ref="H13:K13"/>
    <x:mergeCell ref="L13:N13"/>
    <x:mergeCell ref="H14:K14"/>
    <x:mergeCell ref="L14:N14"/>
    <x:mergeCell ref="H15:K15"/>
    <x:mergeCell ref="L15:N15"/>
    <x:mergeCell ref="H16:K16"/>
    <x:mergeCell ref="L16:N16"/>
    <x:mergeCell ref="H17:K17"/>
    <x:mergeCell ref="L17:N17"/>
    <x:mergeCell ref="H18:K18"/>
    <x:mergeCell ref="L18:N18"/>
    <x:mergeCell ref="H20:N20"/>
    <x:mergeCell ref="H21:K21"/>
    <x:mergeCell ref="L21:N21"/>
    <x:mergeCell ref="H22:K22"/>
    <x:mergeCell ref="L22:N22"/>
    <x:mergeCell ref="H23:K23"/>
    <x:mergeCell ref="L23:N23"/>
    <x:mergeCell ref="H24:K24"/>
    <x:mergeCell ref="L24:N24"/>
    <x:mergeCell ref="A30:F30"/>
    <x:mergeCell ref="A47:F47"/>
    <x:mergeCell ref="A48:F48"/>
    <x:mergeCell ref="A49:F49"/>
  </x:mergeCells>
  <x:conditionalFormatting sqref="L18:N18">
    <x:cfRule type="expression" dxfId="0" priority="1">
      <x:formula>$L$18="Commercial review required"</x:formula>
    </x:cfRule>
    <x:cfRule type="expression" dxfId="1" priority="2">
      <x:formula>$L$18="Within configured threshold"</x:formula>
    </x:cfRule>
    <x:cfRule type="expression" dxfId="2" priority="3">
      <x:formula>$L$18="No threshold set"</x:formula>
    </x:cfRule>
  </x:conditionalFormatting>
  <x:conditionalFormatting sqref="L24:N24">
    <x:cfRule type="expression" dxfId="3" priority="4">
      <x:formula>$L$24="Commercial review required"</x:formula>
    </x:cfRule>
    <x:cfRule type="expression" dxfId="4" priority="5">
      <x:formula>$L$24="Within configured threshold"</x:formula>
    </x:cfRule>
    <x:cfRule type="expression" dxfId="5" priority="6">
      <x:formula>$L$24="No threshold set"</x:formula>
    </x:cfRule>
  </x:conditionalFormatting>
  <x:dataValidations count="2">
    <x:dataValidation type="list" sqref="B6">
      <x:formula1>"EUR,USD,GBP,CAD,AUD,CHF,DKK,NOK,SEK"</x:formula1>
    </x:dataValidation>
    <x:dataValidation type="list" sqref="B13:B17">
      <x:formula1>"Amount,Percentage"</x:formula1>
    </x:dataValidation>
  </x:dataValidations>
  <x:pageMargins left="0.7" right="0.7" top="0.75" bottom="0.75" header="0.3" footer="0.3"/>
  <x:drawing xmlns:r="http://schemas.openxmlformats.org/officeDocument/2006/relationships" r:id="Re5d025c6ffdd40d4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24" hidden="0" customWidth="1"/>
    <x:col min="4" max="4" width="11" hidden="0" customWidth="1"/>
    <x:col min="5" max="5" width="16" hidden="0" customWidth="1"/>
    <x:col min="6" max="6" width="10" hidden="0" customWidth="1"/>
    <x:col min="7" max="7" width="14" hidden="0" customWidth="1"/>
    <x:col min="8" max="8" width="18" hidden="0" customWidth="1"/>
    <x:col min="9" max="9" width="16" hidden="0" customWidth="1"/>
    <x:col min="10" max="10" width="18" hidden="0" customWidth="1"/>
    <x:col min="11" max="11" width="16" hidden="0" customWidth="1"/>
    <x:col min="12" max="12" width="20" hidden="0" customWidth="1"/>
    <x:col min="13" max="13" width="18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5" hidden="0" customWidth="1"/>
    <x:col min="23" max="23" width="15" hidden="0" customWidth="1"/>
    <x:col min="24" max="24" width="18" hidden="0" customWidth="1"/>
    <x:col min="25" max="25" width="15" hidden="0" customWidth="1"/>
    <x:col min="26" max="26" width="18" hidden="0" customWidth="1"/>
    <x:col min="27" max="27" width="15" hidden="0" customWidth="1"/>
    <x:col min="28" max="28" width="16" hidden="0" customWidth="1"/>
    <x:col min="29" max="29" width="16" hidden="0" customWidth="1"/>
    <x:col min="30" max="30" width="14" hidden="0" customWidth="1"/>
    <x:col min="31" max="31" width="28" hidden="0" customWidth="1"/>
    <x:col min="32" max="32" width="28" hidden="0" customWidth="1"/>
    <x:col min="33" max="33" width="32" hidden="0" customWidth="1"/>
  </x:cols>
  <x:sheetData>
    <x:row r="1" ht="28" customHeight="1">
      <x:c r="A1" s="5" t="str">
        <x:v>Configure to WIN | B2B Price Waterfall Deal Log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  <x:c r="AB1" s="5"/>
      <x:c r="AC1" s="5"/>
      <x:c r="AD1" s="5"/>
      <x:c r="AE1" s="5"/>
      <x:c r="AF1" s="5"/>
      <x:c r="AG1" s="5"/>
    </x:row>
    <x:row r="2" ht="23" customHeight="1">
      <x:c r="A2" s="14" t="str">
        <x:v>Record entered deal economics and compare invoice price, pocket price, margin and leakage across at least 100 deals.</x:v>
      </x:c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  <x:c r="M2" s="14"/>
      <x:c r="N2" s="14"/>
      <x:c r="O2" s="14"/>
      <x:c r="P2" s="14"/>
      <x:c r="Q2" s="14"/>
      <x:c r="R2" s="14"/>
      <x:c r="S2" s="14"/>
      <x:c r="T2" s="14"/>
      <x:c r="U2" s="14"/>
      <x:c r="V2" s="14"/>
      <x:c r="W2" s="14"/>
      <x:c r="X2" s="14"/>
      <x:c r="Y2" s="14"/>
      <x:c r="Z2" s="14"/>
      <x:c r="AA2" s="14"/>
      <x:c r="AB2" s="14"/>
      <x:c r="AC2" s="14"/>
      <x:c r="AD2" s="14"/>
      <x:c r="AE2" s="14"/>
      <x:c r="AF2" s="14"/>
      <x:c r="AG2" s="14"/>
    </x:row>
    <x:row r="3" ht="30" customHeight="1">
      <x:c r="A3" s="24" t="str">
        <x:v>Derived columns use formulas. The workbook does not provide an industry benchmark or target margin.</x:v>
      </x:c>
      <x:c r="B3" s="24"/>
      <x:c r="C3" s="24"/>
      <x:c r="D3" s="24"/>
      <x:c r="E3" s="24"/>
      <x:c r="F3" s="24"/>
      <x:c r="G3" s="24"/>
      <x:c r="H3" s="24"/>
      <x:c r="I3" s="24"/>
      <x:c r="J3" s="24"/>
      <x:c r="K3" s="24"/>
      <x:c r="L3" s="24"/>
      <x:c r="M3" s="24"/>
      <x:c r="N3" s="24"/>
      <x:c r="O3" s="24"/>
      <x:c r="P3" s="24"/>
      <x:c r="Q3" s="24"/>
      <x:c r="R3" s="24"/>
      <x:c r="S3" s="24"/>
      <x:c r="T3" s="24"/>
      <x:c r="U3" s="24"/>
      <x:c r="V3" s="24"/>
      <x:c r="W3" s="24"/>
      <x:c r="X3" s="24"/>
      <x:c r="Y3" s="24"/>
      <x:c r="Z3" s="24"/>
      <x:c r="AA3" s="24"/>
      <x:c r="AB3" s="24"/>
      <x:c r="AC3" s="24"/>
      <x:c r="AD3" s="24"/>
      <x:c r="AE3" s="24"/>
      <x:c r="AF3" s="24"/>
      <x:c r="AG3" s="24"/>
    </x:row>
    <x:row r="5" ht="55" customHeight="1">
      <x:c r="A5" s="81" t="str">
        <x:v>Deal ID</x:v>
      </x:c>
      <x:c r="B5" s="82" t="str">
        <x:v>Measurement date</x:v>
      </x:c>
      <x:c r="C5" s="82" t="str">
        <x:v>Customer or segment</x:v>
      </x:c>
      <x:c r="D5" s="82" t="str">
        <x:v>Currency</x:v>
      </x:c>
      <x:c r="E5" s="82" t="str">
        <x:v>List price per unit</x:v>
      </x:c>
      <x:c r="F5" s="82" t="str">
        <x:v>Quantity</x:v>
      </x:c>
      <x:c r="G5" s="82" t="str">
        <x:v>Unit cost</x:v>
      </x:c>
      <x:c r="H5" s="82" t="str">
        <x:v>Customer discount mode</x:v>
      </x:c>
      <x:c r="I5" s="82" t="str">
        <x:v>Customer discount value</x:v>
      </x:c>
      <x:c r="J5" s="82" t="str">
        <x:v>Promotional discount mode</x:v>
      </x:c>
      <x:c r="K5" s="82" t="str">
        <x:v>Promotional discount value</x:v>
      </x:c>
      <x:c r="L5" s="82" t="str">
        <x:v>Freight/service concession mode</x:v>
      </x:c>
      <x:c r="M5" s="82" t="str">
        <x:v>Freight/service concession value</x:v>
      </x:c>
      <x:c r="N5" s="82" t="str">
        <x:v>Customer rebate mode</x:v>
      </x:c>
      <x:c r="O5" s="82" t="str">
        <x:v>Customer rebate value</x:v>
      </x:c>
      <x:c r="P5" s="82" t="str">
        <x:v>Vendor incentive mode</x:v>
      </x:c>
      <x:c r="Q5" s="82" t="str">
        <x:v>Vendor incentive value</x:v>
      </x:c>
      <x:c r="R5" s="82" t="str">
        <x:v>Minimum pocket margin</x:v>
      </x:c>
      <x:c r="S5" s="82" t="str">
        <x:v>Gross list value</x:v>
      </x:c>
      <x:c r="T5" s="82" t="str">
        <x:v>Invoice price</x:v>
      </x:c>
      <x:c r="U5" s="82" t="str">
        <x:v>Pocket price</x:v>
      </x:c>
      <x:c r="V5" s="82" t="str">
        <x:v>Base cost</x:v>
      </x:c>
      <x:c r="W5" s="82" t="str">
        <x:v>Effective cost</x:v>
      </x:c>
      <x:c r="X5" s="82" t="str">
        <x:v>Front-end gross profit</x:v>
      </x:c>
      <x:c r="Y5" s="82" t="str">
        <x:v>Front-end margin</x:v>
      </x:c>
      <x:c r="Z5" s="82" t="str">
        <x:v>Pocket gross profit</x:v>
      </x:c>
      <x:c r="AA5" s="82" t="str">
        <x:v>Pocket margin</x:v>
      </x:c>
      <x:c r="AB5" s="82" t="str">
        <x:v>Margin leakage</x:v>
      </x:c>
      <x:c r="AC5" s="82" t="str">
        <x:v>Leakage percentage</x:v>
      </x:c>
      <x:c r="AD5" s="82" t="str">
        <x:v>Margin delta</x:v>
      </x:c>
      <x:c r="AE5" s="82" t="str">
        <x:v>Largest customer-facing deduction</x:v>
      </x:c>
      <x:c r="AF5" s="82" t="str">
        <x:v>Approval signal</x:v>
      </x:c>
      <x:c r="AG5" s="83" t="str">
        <x:v>Notes</x:v>
      </x:c>
    </x:row>
    <x:row r="6">
      <x:c r="A6" s="172"/>
      <x:c r="B6" s="216"/>
      <x:c r="C6" s="173"/>
      <x:c r="D6" s="173"/>
      <x:c r="E6" s="222"/>
      <x:c r="F6" s="252"/>
      <x:c r="G6" s="222"/>
      <x:c r="H6" s="173"/>
      <x:c r="I6" s="222"/>
      <x:c r="J6" s="173"/>
      <x:c r="K6" s="222"/>
      <x:c r="L6" s="173"/>
      <x:c r="M6" s="222"/>
      <x:c r="N6" s="173"/>
      <x:c r="O6" s="222"/>
      <x:c r="P6" s="173"/>
      <x:c r="Q6" s="222"/>
      <x:c r="R6" s="240"/>
      <x:c r="S6" s="228" t="str">
        <x:f>IF(OR($E6="",$F6=""),"",$E6*$F6)</x:f>
      </x:c>
      <x:c r="T6" s="234" t="str">
        <x:f>IF($S6="","",$S6-IF($H6="Percentage",$S6*$I6,$I6)-IF($J6="Percentage",$S6*$K6,$K6))</x:f>
      </x:c>
      <x:c r="U6" s="234" t="str">
        <x:f>IF($T6="","",$T6-IF($L6="Percentage",$T6*$M6,$M6)-IF($N6="Percentage",$T6*$O6,$O6))</x:f>
      </x:c>
      <x:c r="V6" s="234" t="str">
        <x:f>IF(OR($G6="",$F6=""),"",$G6*$F6)</x:f>
      </x:c>
      <x:c r="W6" s="234" t="str">
        <x:f>IF($V6="","",$V6-IF($P6="Percentage",$V6*$Q6,$Q6))</x:f>
      </x:c>
      <x:c r="X6" s="234" t="str">
        <x:f>IF(OR($T6="",$V6=""),"",$T6-$V6)</x:f>
      </x:c>
      <x:c r="Y6" s="246" t="str">
        <x:f>IFERROR($X6/$T6,"")</x:f>
      </x:c>
      <x:c r="Z6" s="234" t="str">
        <x:f>IF(OR($U6="",$W6=""),"",$U6-$W6)</x:f>
      </x:c>
      <x:c r="AA6" s="246" t="str">
        <x:f>IFERROR($Z6/$U6,"")</x:f>
      </x:c>
      <x:c r="AB6" s="234" t="str">
        <x:f>IF(OR($S6="",$U6=""),"",$S6-$U6)</x:f>
      </x:c>
      <x:c r="AC6" s="246" t="str">
        <x:f>IFERROR($AB6/$S6,"")</x:f>
      </x:c>
      <x:c r="AD6" s="246" t="str">
        <x:f>IF(OR($Y6="",$AA6=""),"",$AA6-$Y6)</x:f>
      </x:c>
      <x:c r="AE6" s="198" t="str">
        <x:f>IF($A6="","",IF(IF($H6="Percentage",$S6*$I6,$I6)&gt;=MAX(IF($J6="Percentage",$S6*$K6,$K6),IF($L6="Percentage",$T6*$M6,$M6),IF($N6="Percentage",$T6*$O6,$O6)),"Customer discount",IF(IF($J6="Percentage",$S6*$K6,$K6)&gt;=MAX(IF($L6="Percentage",$T6*$M6,$M6),IF($N6="Percentage",$T6*$O6,$O6)),"Promotional discount",IF(IF($L6="Percentage",$T6*$M6,$M6)&gt;=IF($N6="Percentage",$T6*$O6,$O6),"Freight/service concession","Customer rebate"))))</x:f>
      </x:c>
      <x:c r="AF6" s="202" t="str">
        <x:f>IF($AA6="","",IF($R6="","No threshold set",IF($AA6&gt;=$R6,"Within configured threshold","Commercial review required")))</x:f>
      </x:c>
      <x:c r="AG6" s="174"/>
    </x:row>
    <x:row r="7">
      <x:c r="A7" s="175"/>
      <x:c r="B7" s="217"/>
      <x:c r="C7" s="176"/>
      <x:c r="D7" s="176"/>
      <x:c r="E7" s="223"/>
      <x:c r="F7" s="253"/>
      <x:c r="G7" s="223"/>
      <x:c r="H7" s="176"/>
      <x:c r="I7" s="223"/>
      <x:c r="J7" s="176"/>
      <x:c r="K7" s="223"/>
      <x:c r="L7" s="176"/>
      <x:c r="M7" s="223"/>
      <x:c r="N7" s="176"/>
      <x:c r="O7" s="223"/>
      <x:c r="P7" s="176"/>
      <x:c r="Q7" s="223"/>
      <x:c r="R7" s="241"/>
      <x:c r="S7" s="229" t="str">
        <x:f>IF(OR($E7="",$F7=""),"",$E7*$F7)</x:f>
      </x:c>
      <x:c r="T7" s="235" t="str">
        <x:f>IF($S7="","",$S7-IF($H7="Percentage",$S7*$I7,$I7)-IF($J7="Percentage",$S7*$K7,$K7))</x:f>
      </x:c>
      <x:c r="U7" s="235" t="str">
        <x:f>IF($T7="","",$T7-IF($L7="Percentage",$T7*$M7,$M7)-IF($N7="Percentage",$T7*$O7,$O7))</x:f>
      </x:c>
      <x:c r="V7" s="235" t="str">
        <x:f>IF(OR($G7="",$F7=""),"",$G7*$F7)</x:f>
      </x:c>
      <x:c r="W7" s="235" t="str">
        <x:f>IF($V7="","",$V7-IF($P7="Percentage",$V7*$Q7,$Q7))</x:f>
      </x:c>
      <x:c r="X7" s="235" t="str">
        <x:f>IF(OR($T7="",$V7=""),"",$T7-$V7)</x:f>
      </x:c>
      <x:c r="Y7" s="247" t="str">
        <x:f>IFERROR($X7/$T7,"")</x:f>
      </x:c>
      <x:c r="Z7" s="235" t="str">
        <x:f>IF(OR($U7="",$W7=""),"",$U7-$W7)</x:f>
      </x:c>
      <x:c r="AA7" s="247" t="str">
        <x:f>IFERROR($Z7/$U7,"")</x:f>
      </x:c>
      <x:c r="AB7" s="235" t="str">
        <x:f>IF(OR($S7="",$U7=""),"",$S7-$U7)</x:f>
      </x:c>
      <x:c r="AC7" s="247" t="str">
        <x:f>IFERROR($AB7/$S7,"")</x:f>
      </x:c>
      <x:c r="AD7" s="247" t="str">
        <x:f>IF(OR($Y7="",$AA7=""),"",$AA7-$Y7)</x:f>
      </x:c>
      <x:c r="AE7" s="199" t="str">
        <x:f>IF($A7="","",IF(IF($H7="Percentage",$S7*$I7,$I7)&gt;=MAX(IF($J7="Percentage",$S7*$K7,$K7),IF($L7="Percentage",$T7*$M7,$M7),IF($N7="Percentage",$T7*$O7,$O7)),"Customer discount",IF(IF($J7="Percentage",$S7*$K7,$K7)&gt;=MAX(IF($L7="Percentage",$T7*$M7,$M7),IF($N7="Percentage",$T7*$O7,$O7)),"Promotional discount",IF(IF($L7="Percentage",$T7*$M7,$M7)&gt;=IF($N7="Percentage",$T7*$O7,$O7),"Freight/service concession","Customer rebate"))))</x:f>
      </x:c>
      <x:c r="AF7" s="204" t="str">
        <x:f>IF($AA7="","",IF($R7="","No threshold set",IF($AA7&gt;=$R7,"Within configured threshold","Commercial review required")))</x:f>
      </x:c>
      <x:c r="AG7" s="177"/>
    </x:row>
    <x:row r="8">
      <x:c r="A8" s="175"/>
      <x:c r="B8" s="217"/>
      <x:c r="C8" s="176"/>
      <x:c r="D8" s="176"/>
      <x:c r="E8" s="223"/>
      <x:c r="F8" s="253"/>
      <x:c r="G8" s="223"/>
      <x:c r="H8" s="176"/>
      <x:c r="I8" s="223"/>
      <x:c r="J8" s="176"/>
      <x:c r="K8" s="223"/>
      <x:c r="L8" s="176"/>
      <x:c r="M8" s="223"/>
      <x:c r="N8" s="176"/>
      <x:c r="O8" s="223"/>
      <x:c r="P8" s="176"/>
      <x:c r="Q8" s="223"/>
      <x:c r="R8" s="241"/>
      <x:c r="S8" s="229" t="str">
        <x:f>IF(OR($E8="",$F8=""),"",$E8*$F8)</x:f>
      </x:c>
      <x:c r="T8" s="235" t="str">
        <x:f>IF($S8="","",$S8-IF($H8="Percentage",$S8*$I8,$I8)-IF($J8="Percentage",$S8*$K8,$K8))</x:f>
      </x:c>
      <x:c r="U8" s="235" t="str">
        <x:f>IF($T8="","",$T8-IF($L8="Percentage",$T8*$M8,$M8)-IF($N8="Percentage",$T8*$O8,$O8))</x:f>
      </x:c>
      <x:c r="V8" s="235" t="str">
        <x:f>IF(OR($G8="",$F8=""),"",$G8*$F8)</x:f>
      </x:c>
      <x:c r="W8" s="235" t="str">
        <x:f>IF($V8="","",$V8-IF($P8="Percentage",$V8*$Q8,$Q8))</x:f>
      </x:c>
      <x:c r="X8" s="235" t="str">
        <x:f>IF(OR($T8="",$V8=""),"",$T8-$V8)</x:f>
      </x:c>
      <x:c r="Y8" s="247" t="str">
        <x:f>IFERROR($X8/$T8,"")</x:f>
      </x:c>
      <x:c r="Z8" s="235" t="str">
        <x:f>IF(OR($U8="",$W8=""),"",$U8-$W8)</x:f>
      </x:c>
      <x:c r="AA8" s="247" t="str">
        <x:f>IFERROR($Z8/$U8,"")</x:f>
      </x:c>
      <x:c r="AB8" s="235" t="str">
        <x:f>IF(OR($S8="",$U8=""),"",$S8-$U8)</x:f>
      </x:c>
      <x:c r="AC8" s="247" t="str">
        <x:f>IFERROR($AB8/$S8,"")</x:f>
      </x:c>
      <x:c r="AD8" s="247" t="str">
        <x:f>IF(OR($Y8="",$AA8=""),"",$AA8-$Y8)</x:f>
      </x:c>
      <x:c r="AE8" s="199" t="str">
        <x:f>IF($A8="","",IF(IF($H8="Percentage",$S8*$I8,$I8)&gt;=MAX(IF($J8="Percentage",$S8*$K8,$K8),IF($L8="Percentage",$T8*$M8,$M8),IF($N8="Percentage",$T8*$O8,$O8)),"Customer discount",IF(IF($J8="Percentage",$S8*$K8,$K8)&gt;=MAX(IF($L8="Percentage",$T8*$M8,$M8),IF($N8="Percentage",$T8*$O8,$O8)),"Promotional discount",IF(IF($L8="Percentage",$T8*$M8,$M8)&gt;=IF($N8="Percentage",$T8*$O8,$O8),"Freight/service concession","Customer rebate"))))</x:f>
      </x:c>
      <x:c r="AF8" s="204" t="str">
        <x:f>IF($AA8="","",IF($R8="","No threshold set",IF($AA8&gt;=$R8,"Within configured threshold","Commercial review required")))</x:f>
      </x:c>
      <x:c r="AG8" s="177"/>
    </x:row>
    <x:row r="9">
      <x:c r="A9" s="175"/>
      <x:c r="B9" s="217"/>
      <x:c r="C9" s="176"/>
      <x:c r="D9" s="176"/>
      <x:c r="E9" s="223"/>
      <x:c r="F9" s="253"/>
      <x:c r="G9" s="223"/>
      <x:c r="H9" s="176"/>
      <x:c r="I9" s="223"/>
      <x:c r="J9" s="176"/>
      <x:c r="K9" s="223"/>
      <x:c r="L9" s="176"/>
      <x:c r="M9" s="223"/>
      <x:c r="N9" s="176"/>
      <x:c r="O9" s="223"/>
      <x:c r="P9" s="176"/>
      <x:c r="Q9" s="223"/>
      <x:c r="R9" s="241"/>
      <x:c r="S9" s="229" t="str">
        <x:f>IF(OR($E9="",$F9=""),"",$E9*$F9)</x:f>
      </x:c>
      <x:c r="T9" s="235" t="str">
        <x:f>IF($S9="","",$S9-IF($H9="Percentage",$S9*$I9,$I9)-IF($J9="Percentage",$S9*$K9,$K9))</x:f>
      </x:c>
      <x:c r="U9" s="235" t="str">
        <x:f>IF($T9="","",$T9-IF($L9="Percentage",$T9*$M9,$M9)-IF($N9="Percentage",$T9*$O9,$O9))</x:f>
      </x:c>
      <x:c r="V9" s="235" t="str">
        <x:f>IF(OR($G9="",$F9=""),"",$G9*$F9)</x:f>
      </x:c>
      <x:c r="W9" s="235" t="str">
        <x:f>IF($V9="","",$V9-IF($P9="Percentage",$V9*$Q9,$Q9))</x:f>
      </x:c>
      <x:c r="X9" s="235" t="str">
        <x:f>IF(OR($T9="",$V9=""),"",$T9-$V9)</x:f>
      </x:c>
      <x:c r="Y9" s="247" t="str">
        <x:f>IFERROR($X9/$T9,"")</x:f>
      </x:c>
      <x:c r="Z9" s="235" t="str">
        <x:f>IF(OR($U9="",$W9=""),"",$U9-$W9)</x:f>
      </x:c>
      <x:c r="AA9" s="247" t="str">
        <x:f>IFERROR($Z9/$U9,"")</x:f>
      </x:c>
      <x:c r="AB9" s="235" t="str">
        <x:f>IF(OR($S9="",$U9=""),"",$S9-$U9)</x:f>
      </x:c>
      <x:c r="AC9" s="247" t="str">
        <x:f>IFERROR($AB9/$S9,"")</x:f>
      </x:c>
      <x:c r="AD9" s="247" t="str">
        <x:f>IF(OR($Y9="",$AA9=""),"",$AA9-$Y9)</x:f>
      </x:c>
      <x:c r="AE9" s="199" t="str">
        <x:f>IF($A9="","",IF(IF($H9="Percentage",$S9*$I9,$I9)&gt;=MAX(IF($J9="Percentage",$S9*$K9,$K9),IF($L9="Percentage",$T9*$M9,$M9),IF($N9="Percentage",$T9*$O9,$O9)),"Customer discount",IF(IF($J9="Percentage",$S9*$K9,$K9)&gt;=MAX(IF($L9="Percentage",$T9*$M9,$M9),IF($N9="Percentage",$T9*$O9,$O9)),"Promotional discount",IF(IF($L9="Percentage",$T9*$M9,$M9)&gt;=IF($N9="Percentage",$T9*$O9,$O9),"Freight/service concession","Customer rebate"))))</x:f>
      </x:c>
      <x:c r="AF9" s="204" t="str">
        <x:f>IF($AA9="","",IF($R9="","No threshold set",IF($AA9&gt;=$R9,"Within configured threshold","Commercial review required")))</x:f>
      </x:c>
      <x:c r="AG9" s="177"/>
    </x:row>
    <x:row r="10">
      <x:c r="A10" s="175"/>
      <x:c r="B10" s="217"/>
      <x:c r="C10" s="176"/>
      <x:c r="D10" s="176"/>
      <x:c r="E10" s="223"/>
      <x:c r="F10" s="253"/>
      <x:c r="G10" s="223"/>
      <x:c r="H10" s="176"/>
      <x:c r="I10" s="223"/>
      <x:c r="J10" s="176"/>
      <x:c r="K10" s="223"/>
      <x:c r="L10" s="176"/>
      <x:c r="M10" s="223"/>
      <x:c r="N10" s="176"/>
      <x:c r="O10" s="223"/>
      <x:c r="P10" s="176"/>
      <x:c r="Q10" s="223"/>
      <x:c r="R10" s="241"/>
      <x:c r="S10" s="229" t="str">
        <x:f>IF(OR($E10="",$F10=""),"",$E10*$F10)</x:f>
      </x:c>
      <x:c r="T10" s="235" t="str">
        <x:f>IF($S10="","",$S10-IF($H10="Percentage",$S10*$I10,$I10)-IF($J10="Percentage",$S10*$K10,$K10))</x:f>
      </x:c>
      <x:c r="U10" s="235" t="str">
        <x:f>IF($T10="","",$T10-IF($L10="Percentage",$T10*$M10,$M10)-IF($N10="Percentage",$T10*$O10,$O10))</x:f>
      </x:c>
      <x:c r="V10" s="235" t="str">
        <x:f>IF(OR($G10="",$F10=""),"",$G10*$F10)</x:f>
      </x:c>
      <x:c r="W10" s="235" t="str">
        <x:f>IF($V10="","",$V10-IF($P10="Percentage",$V10*$Q10,$Q10))</x:f>
      </x:c>
      <x:c r="X10" s="235" t="str">
        <x:f>IF(OR($T10="",$V10=""),"",$T10-$V10)</x:f>
      </x:c>
      <x:c r="Y10" s="247" t="str">
        <x:f>IFERROR($X10/$T10,"")</x:f>
      </x:c>
      <x:c r="Z10" s="235" t="str">
        <x:f>IF(OR($U10="",$W10=""),"",$U10-$W10)</x:f>
      </x:c>
      <x:c r="AA10" s="247" t="str">
        <x:f>IFERROR($Z10/$U10,"")</x:f>
      </x:c>
      <x:c r="AB10" s="235" t="str">
        <x:f>IF(OR($S10="",$U10=""),"",$S10-$U10)</x:f>
      </x:c>
      <x:c r="AC10" s="247" t="str">
        <x:f>IFERROR($AB10/$S10,"")</x:f>
      </x:c>
      <x:c r="AD10" s="247" t="str">
        <x:f>IF(OR($Y10="",$AA10=""),"",$AA10-$Y10)</x:f>
      </x:c>
      <x:c r="AE10" s="199" t="str">
        <x:f>IF($A10="","",IF(IF($H10="Percentage",$S10*$I10,$I10)&gt;=MAX(IF($J10="Percentage",$S10*$K10,$K10),IF($L10="Percentage",$T10*$M10,$M10),IF($N10="Percentage",$T10*$O10,$O10)),"Customer discount",IF(IF($J10="Percentage",$S10*$K10,$K10)&gt;=MAX(IF($L10="Percentage",$T10*$M10,$M10),IF($N10="Percentage",$T10*$O10,$O10)),"Promotional discount",IF(IF($L10="Percentage",$T10*$M10,$M10)&gt;=IF($N10="Percentage",$T10*$O10,$O10),"Freight/service concession","Customer rebate"))))</x:f>
      </x:c>
      <x:c r="AF10" s="204" t="str">
        <x:f>IF($AA10="","",IF($R10="","No threshold set",IF($AA10&gt;=$R10,"Within configured threshold","Commercial review required")))</x:f>
      </x:c>
      <x:c r="AG10" s="177"/>
    </x:row>
    <x:row r="11">
      <x:c r="A11" s="175"/>
      <x:c r="B11" s="217"/>
      <x:c r="C11" s="176"/>
      <x:c r="D11" s="176"/>
      <x:c r="E11" s="223"/>
      <x:c r="F11" s="253"/>
      <x:c r="G11" s="223"/>
      <x:c r="H11" s="176"/>
      <x:c r="I11" s="223"/>
      <x:c r="J11" s="176"/>
      <x:c r="K11" s="223"/>
      <x:c r="L11" s="176"/>
      <x:c r="M11" s="223"/>
      <x:c r="N11" s="176"/>
      <x:c r="O11" s="223"/>
      <x:c r="P11" s="176"/>
      <x:c r="Q11" s="223"/>
      <x:c r="R11" s="241"/>
      <x:c r="S11" s="229" t="str">
        <x:f>IF(OR($E11="",$F11=""),"",$E11*$F11)</x:f>
      </x:c>
      <x:c r="T11" s="235" t="str">
        <x:f>IF($S11="","",$S11-IF($H11="Percentage",$S11*$I11,$I11)-IF($J11="Percentage",$S11*$K11,$K11))</x:f>
      </x:c>
      <x:c r="U11" s="235" t="str">
        <x:f>IF($T11="","",$T11-IF($L11="Percentage",$T11*$M11,$M11)-IF($N11="Percentage",$T11*$O11,$O11))</x:f>
      </x:c>
      <x:c r="V11" s="235" t="str">
        <x:f>IF(OR($G11="",$F11=""),"",$G11*$F11)</x:f>
      </x:c>
      <x:c r="W11" s="235" t="str">
        <x:f>IF($V11="","",$V11-IF($P11="Percentage",$V11*$Q11,$Q11))</x:f>
      </x:c>
      <x:c r="X11" s="235" t="str">
        <x:f>IF(OR($T11="",$V11=""),"",$T11-$V11)</x:f>
      </x:c>
      <x:c r="Y11" s="247" t="str">
        <x:f>IFERROR($X11/$T11,"")</x:f>
      </x:c>
      <x:c r="Z11" s="235" t="str">
        <x:f>IF(OR($U11="",$W11=""),"",$U11-$W11)</x:f>
      </x:c>
      <x:c r="AA11" s="247" t="str">
        <x:f>IFERROR($Z11/$U11,"")</x:f>
      </x:c>
      <x:c r="AB11" s="235" t="str">
        <x:f>IF(OR($S11="",$U11=""),"",$S11-$U11)</x:f>
      </x:c>
      <x:c r="AC11" s="247" t="str">
        <x:f>IFERROR($AB11/$S11,"")</x:f>
      </x:c>
      <x:c r="AD11" s="247" t="str">
        <x:f>IF(OR($Y11="",$AA11=""),"",$AA11-$Y11)</x:f>
      </x:c>
      <x:c r="AE11" s="199" t="str">
        <x:f>IF($A11="","",IF(IF($H11="Percentage",$S11*$I11,$I11)&gt;=MAX(IF($J11="Percentage",$S11*$K11,$K11),IF($L11="Percentage",$T11*$M11,$M11),IF($N11="Percentage",$T11*$O11,$O11)),"Customer discount",IF(IF($J11="Percentage",$S11*$K11,$K11)&gt;=MAX(IF($L11="Percentage",$T11*$M11,$M11),IF($N11="Percentage",$T11*$O11,$O11)),"Promotional discount",IF(IF($L11="Percentage",$T11*$M11,$M11)&gt;=IF($N11="Percentage",$T11*$O11,$O11),"Freight/service concession","Customer rebate"))))</x:f>
      </x:c>
      <x:c r="AF11" s="204" t="str">
        <x:f>IF($AA11="","",IF($R11="","No threshold set",IF($AA11&gt;=$R11,"Within configured threshold","Commercial review required")))</x:f>
      </x:c>
      <x:c r="AG11" s="177"/>
    </x:row>
    <x:row r="12">
      <x:c r="A12" s="175"/>
      <x:c r="B12" s="217"/>
      <x:c r="C12" s="176"/>
      <x:c r="D12" s="176"/>
      <x:c r="E12" s="223"/>
      <x:c r="F12" s="253"/>
      <x:c r="G12" s="223"/>
      <x:c r="H12" s="176"/>
      <x:c r="I12" s="223"/>
      <x:c r="J12" s="176"/>
      <x:c r="K12" s="223"/>
      <x:c r="L12" s="176"/>
      <x:c r="M12" s="223"/>
      <x:c r="N12" s="176"/>
      <x:c r="O12" s="223"/>
      <x:c r="P12" s="176"/>
      <x:c r="Q12" s="223"/>
      <x:c r="R12" s="241"/>
      <x:c r="S12" s="229" t="str">
        <x:f>IF(OR($E12="",$F12=""),"",$E12*$F12)</x:f>
      </x:c>
      <x:c r="T12" s="235" t="str">
        <x:f>IF($S12="","",$S12-IF($H12="Percentage",$S12*$I12,$I12)-IF($J12="Percentage",$S12*$K12,$K12))</x:f>
      </x:c>
      <x:c r="U12" s="235" t="str">
        <x:f>IF($T12="","",$T12-IF($L12="Percentage",$T12*$M12,$M12)-IF($N12="Percentage",$T12*$O12,$O12))</x:f>
      </x:c>
      <x:c r="V12" s="235" t="str">
        <x:f>IF(OR($G12="",$F12=""),"",$G12*$F12)</x:f>
      </x:c>
      <x:c r="W12" s="235" t="str">
        <x:f>IF($V12="","",$V12-IF($P12="Percentage",$V12*$Q12,$Q12))</x:f>
      </x:c>
      <x:c r="X12" s="235" t="str">
        <x:f>IF(OR($T12="",$V12=""),"",$T12-$V12)</x:f>
      </x:c>
      <x:c r="Y12" s="247" t="str">
        <x:f>IFERROR($X12/$T12,"")</x:f>
      </x:c>
      <x:c r="Z12" s="235" t="str">
        <x:f>IF(OR($U12="",$W12=""),"",$U12-$W12)</x:f>
      </x:c>
      <x:c r="AA12" s="247" t="str">
        <x:f>IFERROR($Z12/$U12,"")</x:f>
      </x:c>
      <x:c r="AB12" s="235" t="str">
        <x:f>IF(OR($S12="",$U12=""),"",$S12-$U12)</x:f>
      </x:c>
      <x:c r="AC12" s="247" t="str">
        <x:f>IFERROR($AB12/$S12,"")</x:f>
      </x:c>
      <x:c r="AD12" s="247" t="str">
        <x:f>IF(OR($Y12="",$AA12=""),"",$AA12-$Y12)</x:f>
      </x:c>
      <x:c r="AE12" s="199" t="str">
        <x:f>IF($A12="","",IF(IF($H12="Percentage",$S12*$I12,$I12)&gt;=MAX(IF($J12="Percentage",$S12*$K12,$K12),IF($L12="Percentage",$T12*$M12,$M12),IF($N12="Percentage",$T12*$O12,$O12)),"Customer discount",IF(IF($J12="Percentage",$S12*$K12,$K12)&gt;=MAX(IF($L12="Percentage",$T12*$M12,$M12),IF($N12="Percentage",$T12*$O12,$O12)),"Promotional discount",IF(IF($L12="Percentage",$T12*$M12,$M12)&gt;=IF($N12="Percentage",$T12*$O12,$O12),"Freight/service concession","Customer rebate"))))</x:f>
      </x:c>
      <x:c r="AF12" s="204" t="str">
        <x:f>IF($AA12="","",IF($R12="","No threshold set",IF($AA12&gt;=$R12,"Within configured threshold","Commercial review required")))</x:f>
      </x:c>
      <x:c r="AG12" s="177"/>
    </x:row>
    <x:row r="13">
      <x:c r="A13" s="175"/>
      <x:c r="B13" s="217"/>
      <x:c r="C13" s="176"/>
      <x:c r="D13" s="176"/>
      <x:c r="E13" s="223"/>
      <x:c r="F13" s="253"/>
      <x:c r="G13" s="223"/>
      <x:c r="H13" s="176"/>
      <x:c r="I13" s="223"/>
      <x:c r="J13" s="176"/>
      <x:c r="K13" s="223"/>
      <x:c r="L13" s="176"/>
      <x:c r="M13" s="223"/>
      <x:c r="N13" s="176"/>
      <x:c r="O13" s="223"/>
      <x:c r="P13" s="176"/>
      <x:c r="Q13" s="223"/>
      <x:c r="R13" s="241"/>
      <x:c r="S13" s="229" t="str">
        <x:f>IF(OR($E13="",$F13=""),"",$E13*$F13)</x:f>
      </x:c>
      <x:c r="T13" s="235" t="str">
        <x:f>IF($S13="","",$S13-IF($H13="Percentage",$S13*$I13,$I13)-IF($J13="Percentage",$S13*$K13,$K13))</x:f>
      </x:c>
      <x:c r="U13" s="235" t="str">
        <x:f>IF($T13="","",$T13-IF($L13="Percentage",$T13*$M13,$M13)-IF($N13="Percentage",$T13*$O13,$O13))</x:f>
      </x:c>
      <x:c r="V13" s="235" t="str">
        <x:f>IF(OR($G13="",$F13=""),"",$G13*$F13)</x:f>
      </x:c>
      <x:c r="W13" s="235" t="str">
        <x:f>IF($V13="","",$V13-IF($P13="Percentage",$V13*$Q13,$Q13))</x:f>
      </x:c>
      <x:c r="X13" s="235" t="str">
        <x:f>IF(OR($T13="",$V13=""),"",$T13-$V13)</x:f>
      </x:c>
      <x:c r="Y13" s="247" t="str">
        <x:f>IFERROR($X13/$T13,"")</x:f>
      </x:c>
      <x:c r="Z13" s="235" t="str">
        <x:f>IF(OR($U13="",$W13=""),"",$U13-$W13)</x:f>
      </x:c>
      <x:c r="AA13" s="247" t="str">
        <x:f>IFERROR($Z13/$U13,"")</x:f>
      </x:c>
      <x:c r="AB13" s="235" t="str">
        <x:f>IF(OR($S13="",$U13=""),"",$S13-$U13)</x:f>
      </x:c>
      <x:c r="AC13" s="247" t="str">
        <x:f>IFERROR($AB13/$S13,"")</x:f>
      </x:c>
      <x:c r="AD13" s="247" t="str">
        <x:f>IF(OR($Y13="",$AA13=""),"",$AA13-$Y13)</x:f>
      </x:c>
      <x:c r="AE13" s="199" t="str">
        <x:f>IF($A13="","",IF(IF($H13="Percentage",$S13*$I13,$I13)&gt;=MAX(IF($J13="Percentage",$S13*$K13,$K13),IF($L13="Percentage",$T13*$M13,$M13),IF($N13="Percentage",$T13*$O13,$O13)),"Customer discount",IF(IF($J13="Percentage",$S13*$K13,$K13)&gt;=MAX(IF($L13="Percentage",$T13*$M13,$M13),IF($N13="Percentage",$T13*$O13,$O13)),"Promotional discount",IF(IF($L13="Percentage",$T13*$M13,$M13)&gt;=IF($N13="Percentage",$T13*$O13,$O13),"Freight/service concession","Customer rebate"))))</x:f>
      </x:c>
      <x:c r="AF13" s="204" t="str">
        <x:f>IF($AA13="","",IF($R13="","No threshold set",IF($AA13&gt;=$R13,"Within configured threshold","Commercial review required")))</x:f>
      </x:c>
      <x:c r="AG13" s="177"/>
    </x:row>
    <x:row r="14">
      <x:c r="A14" s="175"/>
      <x:c r="B14" s="217"/>
      <x:c r="C14" s="176"/>
      <x:c r="D14" s="176"/>
      <x:c r="E14" s="223"/>
      <x:c r="F14" s="253"/>
      <x:c r="G14" s="223"/>
      <x:c r="H14" s="176"/>
      <x:c r="I14" s="223"/>
      <x:c r="J14" s="176"/>
      <x:c r="K14" s="223"/>
      <x:c r="L14" s="176"/>
      <x:c r="M14" s="223"/>
      <x:c r="N14" s="176"/>
      <x:c r="O14" s="223"/>
      <x:c r="P14" s="176"/>
      <x:c r="Q14" s="223"/>
      <x:c r="R14" s="241"/>
      <x:c r="S14" s="229" t="str">
        <x:f>IF(OR($E14="",$F14=""),"",$E14*$F14)</x:f>
      </x:c>
      <x:c r="T14" s="235" t="str">
        <x:f>IF($S14="","",$S14-IF($H14="Percentage",$S14*$I14,$I14)-IF($J14="Percentage",$S14*$K14,$K14))</x:f>
      </x:c>
      <x:c r="U14" s="235" t="str">
        <x:f>IF($T14="","",$T14-IF($L14="Percentage",$T14*$M14,$M14)-IF($N14="Percentage",$T14*$O14,$O14))</x:f>
      </x:c>
      <x:c r="V14" s="235" t="str">
        <x:f>IF(OR($G14="",$F14=""),"",$G14*$F14)</x:f>
      </x:c>
      <x:c r="W14" s="235" t="str">
        <x:f>IF($V14="","",$V14-IF($P14="Percentage",$V14*$Q14,$Q14))</x:f>
      </x:c>
      <x:c r="X14" s="235" t="str">
        <x:f>IF(OR($T14="",$V14=""),"",$T14-$V14)</x:f>
      </x:c>
      <x:c r="Y14" s="247" t="str">
        <x:f>IFERROR($X14/$T14,"")</x:f>
      </x:c>
      <x:c r="Z14" s="235" t="str">
        <x:f>IF(OR($U14="",$W14=""),"",$U14-$W14)</x:f>
      </x:c>
      <x:c r="AA14" s="247" t="str">
        <x:f>IFERROR($Z14/$U14,"")</x:f>
      </x:c>
      <x:c r="AB14" s="235" t="str">
        <x:f>IF(OR($S14="",$U14=""),"",$S14-$U14)</x:f>
      </x:c>
      <x:c r="AC14" s="247" t="str">
        <x:f>IFERROR($AB14/$S14,"")</x:f>
      </x:c>
      <x:c r="AD14" s="247" t="str">
        <x:f>IF(OR($Y14="",$AA14=""),"",$AA14-$Y14)</x:f>
      </x:c>
      <x:c r="AE14" s="199" t="str">
        <x:f>IF($A14="","",IF(IF($H14="Percentage",$S14*$I14,$I14)&gt;=MAX(IF($J14="Percentage",$S14*$K14,$K14),IF($L14="Percentage",$T14*$M14,$M14),IF($N14="Percentage",$T14*$O14,$O14)),"Customer discount",IF(IF($J14="Percentage",$S14*$K14,$K14)&gt;=MAX(IF($L14="Percentage",$T14*$M14,$M14),IF($N14="Percentage",$T14*$O14,$O14)),"Promotional discount",IF(IF($L14="Percentage",$T14*$M14,$M14)&gt;=IF($N14="Percentage",$T14*$O14,$O14),"Freight/service concession","Customer rebate"))))</x:f>
      </x:c>
      <x:c r="AF14" s="204" t="str">
        <x:f>IF($AA14="","",IF($R14="","No threshold set",IF($AA14&gt;=$R14,"Within configured threshold","Commercial review required")))</x:f>
      </x:c>
      <x:c r="AG14" s="177"/>
    </x:row>
    <x:row r="15">
      <x:c r="A15" s="175"/>
      <x:c r="B15" s="217"/>
      <x:c r="C15" s="176"/>
      <x:c r="D15" s="176"/>
      <x:c r="E15" s="223"/>
      <x:c r="F15" s="253"/>
      <x:c r="G15" s="223"/>
      <x:c r="H15" s="176"/>
      <x:c r="I15" s="223"/>
      <x:c r="J15" s="176"/>
      <x:c r="K15" s="223"/>
      <x:c r="L15" s="176"/>
      <x:c r="M15" s="223"/>
      <x:c r="N15" s="176"/>
      <x:c r="O15" s="223"/>
      <x:c r="P15" s="176"/>
      <x:c r="Q15" s="223"/>
      <x:c r="R15" s="241"/>
      <x:c r="S15" s="229" t="str">
        <x:f>IF(OR($E15="",$F15=""),"",$E15*$F15)</x:f>
      </x:c>
      <x:c r="T15" s="235" t="str">
        <x:f>IF($S15="","",$S15-IF($H15="Percentage",$S15*$I15,$I15)-IF($J15="Percentage",$S15*$K15,$K15))</x:f>
      </x:c>
      <x:c r="U15" s="235" t="str">
        <x:f>IF($T15="","",$T15-IF($L15="Percentage",$T15*$M15,$M15)-IF($N15="Percentage",$T15*$O15,$O15))</x:f>
      </x:c>
      <x:c r="V15" s="235" t="str">
        <x:f>IF(OR($G15="",$F15=""),"",$G15*$F15)</x:f>
      </x:c>
      <x:c r="W15" s="235" t="str">
        <x:f>IF($V15="","",$V15-IF($P15="Percentage",$V15*$Q15,$Q15))</x:f>
      </x:c>
      <x:c r="X15" s="235" t="str">
        <x:f>IF(OR($T15="",$V15=""),"",$T15-$V15)</x:f>
      </x:c>
      <x:c r="Y15" s="247" t="str">
        <x:f>IFERROR($X15/$T15,"")</x:f>
      </x:c>
      <x:c r="Z15" s="235" t="str">
        <x:f>IF(OR($U15="",$W15=""),"",$U15-$W15)</x:f>
      </x:c>
      <x:c r="AA15" s="247" t="str">
        <x:f>IFERROR($Z15/$U15,"")</x:f>
      </x:c>
      <x:c r="AB15" s="235" t="str">
        <x:f>IF(OR($S15="",$U15=""),"",$S15-$U15)</x:f>
      </x:c>
      <x:c r="AC15" s="247" t="str">
        <x:f>IFERROR($AB15/$S15,"")</x:f>
      </x:c>
      <x:c r="AD15" s="247" t="str">
        <x:f>IF(OR($Y15="",$AA15=""),"",$AA15-$Y15)</x:f>
      </x:c>
      <x:c r="AE15" s="199" t="str">
        <x:f>IF($A15="","",IF(IF($H15="Percentage",$S15*$I15,$I15)&gt;=MAX(IF($J15="Percentage",$S15*$K15,$K15),IF($L15="Percentage",$T15*$M15,$M15),IF($N15="Percentage",$T15*$O15,$O15)),"Customer discount",IF(IF($J15="Percentage",$S15*$K15,$K15)&gt;=MAX(IF($L15="Percentage",$T15*$M15,$M15),IF($N15="Percentage",$T15*$O15,$O15)),"Promotional discount",IF(IF($L15="Percentage",$T15*$M15,$M15)&gt;=IF($N15="Percentage",$T15*$O15,$O15),"Freight/service concession","Customer rebate"))))</x:f>
      </x:c>
      <x:c r="AF15" s="204" t="str">
        <x:f>IF($AA15="","",IF($R15="","No threshold set",IF($AA15&gt;=$R15,"Within configured threshold","Commercial review required")))</x:f>
      </x:c>
      <x:c r="AG15" s="177"/>
    </x:row>
    <x:row r="16">
      <x:c r="A16" s="175"/>
      <x:c r="B16" s="217"/>
      <x:c r="C16" s="176"/>
      <x:c r="D16" s="176"/>
      <x:c r="E16" s="223"/>
      <x:c r="F16" s="253"/>
      <x:c r="G16" s="223"/>
      <x:c r="H16" s="176"/>
      <x:c r="I16" s="223"/>
      <x:c r="J16" s="176"/>
      <x:c r="K16" s="223"/>
      <x:c r="L16" s="176"/>
      <x:c r="M16" s="223"/>
      <x:c r="N16" s="176"/>
      <x:c r="O16" s="223"/>
      <x:c r="P16" s="176"/>
      <x:c r="Q16" s="223"/>
      <x:c r="R16" s="241"/>
      <x:c r="S16" s="229" t="str">
        <x:f>IF(OR($E16="",$F16=""),"",$E16*$F16)</x:f>
      </x:c>
      <x:c r="T16" s="235" t="str">
        <x:f>IF($S16="","",$S16-IF($H16="Percentage",$S16*$I16,$I16)-IF($J16="Percentage",$S16*$K16,$K16))</x:f>
      </x:c>
      <x:c r="U16" s="235" t="str">
        <x:f>IF($T16="","",$T16-IF($L16="Percentage",$T16*$M16,$M16)-IF($N16="Percentage",$T16*$O16,$O16))</x:f>
      </x:c>
      <x:c r="V16" s="235" t="str">
        <x:f>IF(OR($G16="",$F16=""),"",$G16*$F16)</x:f>
      </x:c>
      <x:c r="W16" s="235" t="str">
        <x:f>IF($V16="","",$V16-IF($P16="Percentage",$V16*$Q16,$Q16))</x:f>
      </x:c>
      <x:c r="X16" s="235" t="str">
        <x:f>IF(OR($T16="",$V16=""),"",$T16-$V16)</x:f>
      </x:c>
      <x:c r="Y16" s="247" t="str">
        <x:f>IFERROR($X16/$T16,"")</x:f>
      </x:c>
      <x:c r="Z16" s="235" t="str">
        <x:f>IF(OR($U16="",$W16=""),"",$U16-$W16)</x:f>
      </x:c>
      <x:c r="AA16" s="247" t="str">
        <x:f>IFERROR($Z16/$U16,"")</x:f>
      </x:c>
      <x:c r="AB16" s="235" t="str">
        <x:f>IF(OR($S16="",$U16=""),"",$S16-$U16)</x:f>
      </x:c>
      <x:c r="AC16" s="247" t="str">
        <x:f>IFERROR($AB16/$S16,"")</x:f>
      </x:c>
      <x:c r="AD16" s="247" t="str">
        <x:f>IF(OR($Y16="",$AA16=""),"",$AA16-$Y16)</x:f>
      </x:c>
      <x:c r="AE16" s="199" t="str">
        <x:f>IF($A16="","",IF(IF($H16="Percentage",$S16*$I16,$I16)&gt;=MAX(IF($J16="Percentage",$S16*$K16,$K16),IF($L16="Percentage",$T16*$M16,$M16),IF($N16="Percentage",$T16*$O16,$O16)),"Customer discount",IF(IF($J16="Percentage",$S16*$K16,$K16)&gt;=MAX(IF($L16="Percentage",$T16*$M16,$M16),IF($N16="Percentage",$T16*$O16,$O16)),"Promotional discount",IF(IF($L16="Percentage",$T16*$M16,$M16)&gt;=IF($N16="Percentage",$T16*$O16,$O16),"Freight/service concession","Customer rebate"))))</x:f>
      </x:c>
      <x:c r="AF16" s="204" t="str">
        <x:f>IF($AA16="","",IF($R16="","No threshold set",IF($AA16&gt;=$R16,"Within configured threshold","Commercial review required")))</x:f>
      </x:c>
      <x:c r="AG16" s="177"/>
    </x:row>
    <x:row r="17">
      <x:c r="A17" s="175"/>
      <x:c r="B17" s="217"/>
      <x:c r="C17" s="176"/>
      <x:c r="D17" s="176"/>
      <x:c r="E17" s="223"/>
      <x:c r="F17" s="253"/>
      <x:c r="G17" s="223"/>
      <x:c r="H17" s="176"/>
      <x:c r="I17" s="223"/>
      <x:c r="J17" s="176"/>
      <x:c r="K17" s="223"/>
      <x:c r="L17" s="176"/>
      <x:c r="M17" s="223"/>
      <x:c r="N17" s="176"/>
      <x:c r="O17" s="223"/>
      <x:c r="P17" s="176"/>
      <x:c r="Q17" s="223"/>
      <x:c r="R17" s="241"/>
      <x:c r="S17" s="229" t="str">
        <x:f>IF(OR($E17="",$F17=""),"",$E17*$F17)</x:f>
      </x:c>
      <x:c r="T17" s="235" t="str">
        <x:f>IF($S17="","",$S17-IF($H17="Percentage",$S17*$I17,$I17)-IF($J17="Percentage",$S17*$K17,$K17))</x:f>
      </x:c>
      <x:c r="U17" s="235" t="str">
        <x:f>IF($T17="","",$T17-IF($L17="Percentage",$T17*$M17,$M17)-IF($N17="Percentage",$T17*$O17,$O17))</x:f>
      </x:c>
      <x:c r="V17" s="235" t="str">
        <x:f>IF(OR($G17="",$F17=""),"",$G17*$F17)</x:f>
      </x:c>
      <x:c r="W17" s="235" t="str">
        <x:f>IF($V17="","",$V17-IF($P17="Percentage",$V17*$Q17,$Q17))</x:f>
      </x:c>
      <x:c r="X17" s="235" t="str">
        <x:f>IF(OR($T17="",$V17=""),"",$T17-$V17)</x:f>
      </x:c>
      <x:c r="Y17" s="247" t="str">
        <x:f>IFERROR($X17/$T17,"")</x:f>
      </x:c>
      <x:c r="Z17" s="235" t="str">
        <x:f>IF(OR($U17="",$W17=""),"",$U17-$W17)</x:f>
      </x:c>
      <x:c r="AA17" s="247" t="str">
        <x:f>IFERROR($Z17/$U17,"")</x:f>
      </x:c>
      <x:c r="AB17" s="235" t="str">
        <x:f>IF(OR($S17="",$U17=""),"",$S17-$U17)</x:f>
      </x:c>
      <x:c r="AC17" s="247" t="str">
        <x:f>IFERROR($AB17/$S17,"")</x:f>
      </x:c>
      <x:c r="AD17" s="247" t="str">
        <x:f>IF(OR($Y17="",$AA17=""),"",$AA17-$Y17)</x:f>
      </x:c>
      <x:c r="AE17" s="199" t="str">
        <x:f>IF($A17="","",IF(IF($H17="Percentage",$S17*$I17,$I17)&gt;=MAX(IF($J17="Percentage",$S17*$K17,$K17),IF($L17="Percentage",$T17*$M17,$M17),IF($N17="Percentage",$T17*$O17,$O17)),"Customer discount",IF(IF($J17="Percentage",$S17*$K17,$K17)&gt;=MAX(IF($L17="Percentage",$T17*$M17,$M17),IF($N17="Percentage",$T17*$O17,$O17)),"Promotional discount",IF(IF($L17="Percentage",$T17*$M17,$M17)&gt;=IF($N17="Percentage",$T17*$O17,$O17),"Freight/service concession","Customer rebate"))))</x:f>
      </x:c>
      <x:c r="AF17" s="204" t="str">
        <x:f>IF($AA17="","",IF($R17="","No threshold set",IF($AA17&gt;=$R17,"Within configured threshold","Commercial review required")))</x:f>
      </x:c>
      <x:c r="AG17" s="177"/>
    </x:row>
    <x:row r="18">
      <x:c r="A18" s="175"/>
      <x:c r="B18" s="217"/>
      <x:c r="C18" s="176"/>
      <x:c r="D18" s="176"/>
      <x:c r="E18" s="223"/>
      <x:c r="F18" s="253"/>
      <x:c r="G18" s="223"/>
      <x:c r="H18" s="176"/>
      <x:c r="I18" s="223"/>
      <x:c r="J18" s="176"/>
      <x:c r="K18" s="223"/>
      <x:c r="L18" s="176"/>
      <x:c r="M18" s="223"/>
      <x:c r="N18" s="176"/>
      <x:c r="O18" s="223"/>
      <x:c r="P18" s="176"/>
      <x:c r="Q18" s="223"/>
      <x:c r="R18" s="241"/>
      <x:c r="S18" s="229" t="str">
        <x:f>IF(OR($E18="",$F18=""),"",$E18*$F18)</x:f>
      </x:c>
      <x:c r="T18" s="235" t="str">
        <x:f>IF($S18="","",$S18-IF($H18="Percentage",$S18*$I18,$I18)-IF($J18="Percentage",$S18*$K18,$K18))</x:f>
      </x:c>
      <x:c r="U18" s="235" t="str">
        <x:f>IF($T18="","",$T18-IF($L18="Percentage",$T18*$M18,$M18)-IF($N18="Percentage",$T18*$O18,$O18))</x:f>
      </x:c>
      <x:c r="V18" s="235" t="str">
        <x:f>IF(OR($G18="",$F18=""),"",$G18*$F18)</x:f>
      </x:c>
      <x:c r="W18" s="235" t="str">
        <x:f>IF($V18="","",$V18-IF($P18="Percentage",$V18*$Q18,$Q18))</x:f>
      </x:c>
      <x:c r="X18" s="235" t="str">
        <x:f>IF(OR($T18="",$V18=""),"",$T18-$V18)</x:f>
      </x:c>
      <x:c r="Y18" s="247" t="str">
        <x:f>IFERROR($X18/$T18,"")</x:f>
      </x:c>
      <x:c r="Z18" s="235" t="str">
        <x:f>IF(OR($U18="",$W18=""),"",$U18-$W18)</x:f>
      </x:c>
      <x:c r="AA18" s="247" t="str">
        <x:f>IFERROR($Z18/$U18,"")</x:f>
      </x:c>
      <x:c r="AB18" s="235" t="str">
        <x:f>IF(OR($S18="",$U18=""),"",$S18-$U18)</x:f>
      </x:c>
      <x:c r="AC18" s="247" t="str">
        <x:f>IFERROR($AB18/$S18,"")</x:f>
      </x:c>
      <x:c r="AD18" s="247" t="str">
        <x:f>IF(OR($Y18="",$AA18=""),"",$AA18-$Y18)</x:f>
      </x:c>
      <x:c r="AE18" s="199" t="str">
        <x:f>IF($A18="","",IF(IF($H18="Percentage",$S18*$I18,$I18)&gt;=MAX(IF($J18="Percentage",$S18*$K18,$K18),IF($L18="Percentage",$T18*$M18,$M18),IF($N18="Percentage",$T18*$O18,$O18)),"Customer discount",IF(IF($J18="Percentage",$S18*$K18,$K18)&gt;=MAX(IF($L18="Percentage",$T18*$M18,$M18),IF($N18="Percentage",$T18*$O18,$O18)),"Promotional discount",IF(IF($L18="Percentage",$T18*$M18,$M18)&gt;=IF($N18="Percentage",$T18*$O18,$O18),"Freight/service concession","Customer rebate"))))</x:f>
      </x:c>
      <x:c r="AF18" s="204" t="str">
        <x:f>IF($AA18="","",IF($R18="","No threshold set",IF($AA18&gt;=$R18,"Within configured threshold","Commercial review required")))</x:f>
      </x:c>
      <x:c r="AG18" s="177"/>
    </x:row>
    <x:row r="19">
      <x:c r="A19" s="175"/>
      <x:c r="B19" s="217"/>
      <x:c r="C19" s="176"/>
      <x:c r="D19" s="176"/>
      <x:c r="E19" s="223"/>
      <x:c r="F19" s="253"/>
      <x:c r="G19" s="223"/>
      <x:c r="H19" s="176"/>
      <x:c r="I19" s="223"/>
      <x:c r="J19" s="176"/>
      <x:c r="K19" s="223"/>
      <x:c r="L19" s="176"/>
      <x:c r="M19" s="223"/>
      <x:c r="N19" s="176"/>
      <x:c r="O19" s="223"/>
      <x:c r="P19" s="176"/>
      <x:c r="Q19" s="223"/>
      <x:c r="R19" s="241"/>
      <x:c r="S19" s="229" t="str">
        <x:f>IF(OR($E19="",$F19=""),"",$E19*$F19)</x:f>
      </x:c>
      <x:c r="T19" s="235" t="str">
        <x:f>IF($S19="","",$S19-IF($H19="Percentage",$S19*$I19,$I19)-IF($J19="Percentage",$S19*$K19,$K19))</x:f>
      </x:c>
      <x:c r="U19" s="235" t="str">
        <x:f>IF($T19="","",$T19-IF($L19="Percentage",$T19*$M19,$M19)-IF($N19="Percentage",$T19*$O19,$O19))</x:f>
      </x:c>
      <x:c r="V19" s="235" t="str">
        <x:f>IF(OR($G19="",$F19=""),"",$G19*$F19)</x:f>
      </x:c>
      <x:c r="W19" s="235" t="str">
        <x:f>IF($V19="","",$V19-IF($P19="Percentage",$V19*$Q19,$Q19))</x:f>
      </x:c>
      <x:c r="X19" s="235" t="str">
        <x:f>IF(OR($T19="",$V19=""),"",$T19-$V19)</x:f>
      </x:c>
      <x:c r="Y19" s="247" t="str">
        <x:f>IFERROR($X19/$T19,"")</x:f>
      </x:c>
      <x:c r="Z19" s="235" t="str">
        <x:f>IF(OR($U19="",$W19=""),"",$U19-$W19)</x:f>
      </x:c>
      <x:c r="AA19" s="247" t="str">
        <x:f>IFERROR($Z19/$U19,"")</x:f>
      </x:c>
      <x:c r="AB19" s="235" t="str">
        <x:f>IF(OR($S19="",$U19=""),"",$S19-$U19)</x:f>
      </x:c>
      <x:c r="AC19" s="247" t="str">
        <x:f>IFERROR($AB19/$S19,"")</x:f>
      </x:c>
      <x:c r="AD19" s="247" t="str">
        <x:f>IF(OR($Y19="",$AA19=""),"",$AA19-$Y19)</x:f>
      </x:c>
      <x:c r="AE19" s="199" t="str">
        <x:f>IF($A19="","",IF(IF($H19="Percentage",$S19*$I19,$I19)&gt;=MAX(IF($J19="Percentage",$S19*$K19,$K19),IF($L19="Percentage",$T19*$M19,$M19),IF($N19="Percentage",$T19*$O19,$O19)),"Customer discount",IF(IF($J19="Percentage",$S19*$K19,$K19)&gt;=MAX(IF($L19="Percentage",$T19*$M19,$M19),IF($N19="Percentage",$T19*$O19,$O19)),"Promotional discount",IF(IF($L19="Percentage",$T19*$M19,$M19)&gt;=IF($N19="Percentage",$T19*$O19,$O19),"Freight/service concession","Customer rebate"))))</x:f>
      </x:c>
      <x:c r="AF19" s="204" t="str">
        <x:f>IF($AA19="","",IF($R19="","No threshold set",IF($AA19&gt;=$R19,"Within configured threshold","Commercial review required")))</x:f>
      </x:c>
      <x:c r="AG19" s="177"/>
    </x:row>
    <x:row r="20">
      <x:c r="A20" s="175"/>
      <x:c r="B20" s="217"/>
      <x:c r="C20" s="176"/>
      <x:c r="D20" s="176"/>
      <x:c r="E20" s="223"/>
      <x:c r="F20" s="253"/>
      <x:c r="G20" s="223"/>
      <x:c r="H20" s="176"/>
      <x:c r="I20" s="223"/>
      <x:c r="J20" s="176"/>
      <x:c r="K20" s="223"/>
      <x:c r="L20" s="176"/>
      <x:c r="M20" s="223"/>
      <x:c r="N20" s="176"/>
      <x:c r="O20" s="223"/>
      <x:c r="P20" s="176"/>
      <x:c r="Q20" s="223"/>
      <x:c r="R20" s="241"/>
      <x:c r="S20" s="229" t="str">
        <x:f>IF(OR($E20="",$F20=""),"",$E20*$F20)</x:f>
      </x:c>
      <x:c r="T20" s="235" t="str">
        <x:f>IF($S20="","",$S20-IF($H20="Percentage",$S20*$I20,$I20)-IF($J20="Percentage",$S20*$K20,$K20))</x:f>
      </x:c>
      <x:c r="U20" s="235" t="str">
        <x:f>IF($T20="","",$T20-IF($L20="Percentage",$T20*$M20,$M20)-IF($N20="Percentage",$T20*$O20,$O20))</x:f>
      </x:c>
      <x:c r="V20" s="235" t="str">
        <x:f>IF(OR($G20="",$F20=""),"",$G20*$F20)</x:f>
      </x:c>
      <x:c r="W20" s="235" t="str">
        <x:f>IF($V20="","",$V20-IF($P20="Percentage",$V20*$Q20,$Q20))</x:f>
      </x:c>
      <x:c r="X20" s="235" t="str">
        <x:f>IF(OR($T20="",$V20=""),"",$T20-$V20)</x:f>
      </x:c>
      <x:c r="Y20" s="247" t="str">
        <x:f>IFERROR($X20/$T20,"")</x:f>
      </x:c>
      <x:c r="Z20" s="235" t="str">
        <x:f>IF(OR($U20="",$W20=""),"",$U20-$W20)</x:f>
      </x:c>
      <x:c r="AA20" s="247" t="str">
        <x:f>IFERROR($Z20/$U20,"")</x:f>
      </x:c>
      <x:c r="AB20" s="235" t="str">
        <x:f>IF(OR($S20="",$U20=""),"",$S20-$U20)</x:f>
      </x:c>
      <x:c r="AC20" s="247" t="str">
        <x:f>IFERROR($AB20/$S20,"")</x:f>
      </x:c>
      <x:c r="AD20" s="247" t="str">
        <x:f>IF(OR($Y20="",$AA20=""),"",$AA20-$Y20)</x:f>
      </x:c>
      <x:c r="AE20" s="199" t="str">
        <x:f>IF($A20="","",IF(IF($H20="Percentage",$S20*$I20,$I20)&gt;=MAX(IF($J20="Percentage",$S20*$K20,$K20),IF($L20="Percentage",$T20*$M20,$M20),IF($N20="Percentage",$T20*$O20,$O20)),"Customer discount",IF(IF($J20="Percentage",$S20*$K20,$K20)&gt;=MAX(IF($L20="Percentage",$T20*$M20,$M20),IF($N20="Percentage",$T20*$O20,$O20)),"Promotional discount",IF(IF($L20="Percentage",$T20*$M20,$M20)&gt;=IF($N20="Percentage",$T20*$O20,$O20),"Freight/service concession","Customer rebate"))))</x:f>
      </x:c>
      <x:c r="AF20" s="204" t="str">
        <x:f>IF($AA20="","",IF($R20="","No threshold set",IF($AA20&gt;=$R20,"Within configured threshold","Commercial review required")))</x:f>
      </x:c>
      <x:c r="AG20" s="177"/>
    </x:row>
    <x:row r="21">
      <x:c r="A21" s="175"/>
      <x:c r="B21" s="217"/>
      <x:c r="C21" s="176"/>
      <x:c r="D21" s="176"/>
      <x:c r="E21" s="223"/>
      <x:c r="F21" s="253"/>
      <x:c r="G21" s="223"/>
      <x:c r="H21" s="176"/>
      <x:c r="I21" s="223"/>
      <x:c r="J21" s="176"/>
      <x:c r="K21" s="223"/>
      <x:c r="L21" s="176"/>
      <x:c r="M21" s="223"/>
      <x:c r="N21" s="176"/>
      <x:c r="O21" s="223"/>
      <x:c r="P21" s="176"/>
      <x:c r="Q21" s="223"/>
      <x:c r="R21" s="241"/>
      <x:c r="S21" s="229" t="str">
        <x:f>IF(OR($E21="",$F21=""),"",$E21*$F21)</x:f>
      </x:c>
      <x:c r="T21" s="235" t="str">
        <x:f>IF($S21="","",$S21-IF($H21="Percentage",$S21*$I21,$I21)-IF($J21="Percentage",$S21*$K21,$K21))</x:f>
      </x:c>
      <x:c r="U21" s="235" t="str">
        <x:f>IF($T21="","",$T21-IF($L21="Percentage",$T21*$M21,$M21)-IF($N21="Percentage",$T21*$O21,$O21))</x:f>
      </x:c>
      <x:c r="V21" s="235" t="str">
        <x:f>IF(OR($G21="",$F21=""),"",$G21*$F21)</x:f>
      </x:c>
      <x:c r="W21" s="235" t="str">
        <x:f>IF($V21="","",$V21-IF($P21="Percentage",$V21*$Q21,$Q21))</x:f>
      </x:c>
      <x:c r="X21" s="235" t="str">
        <x:f>IF(OR($T21="",$V21=""),"",$T21-$V21)</x:f>
      </x:c>
      <x:c r="Y21" s="247" t="str">
        <x:f>IFERROR($X21/$T21,"")</x:f>
      </x:c>
      <x:c r="Z21" s="235" t="str">
        <x:f>IF(OR($U21="",$W21=""),"",$U21-$W21)</x:f>
      </x:c>
      <x:c r="AA21" s="247" t="str">
        <x:f>IFERROR($Z21/$U21,"")</x:f>
      </x:c>
      <x:c r="AB21" s="235" t="str">
        <x:f>IF(OR($S21="",$U21=""),"",$S21-$U21)</x:f>
      </x:c>
      <x:c r="AC21" s="247" t="str">
        <x:f>IFERROR($AB21/$S21,"")</x:f>
      </x:c>
      <x:c r="AD21" s="247" t="str">
        <x:f>IF(OR($Y21="",$AA21=""),"",$AA21-$Y21)</x:f>
      </x:c>
      <x:c r="AE21" s="199" t="str">
        <x:f>IF($A21="","",IF(IF($H21="Percentage",$S21*$I21,$I21)&gt;=MAX(IF($J21="Percentage",$S21*$K21,$K21),IF($L21="Percentage",$T21*$M21,$M21),IF($N21="Percentage",$T21*$O21,$O21)),"Customer discount",IF(IF($J21="Percentage",$S21*$K21,$K21)&gt;=MAX(IF($L21="Percentage",$T21*$M21,$M21),IF($N21="Percentage",$T21*$O21,$O21)),"Promotional discount",IF(IF($L21="Percentage",$T21*$M21,$M21)&gt;=IF($N21="Percentage",$T21*$O21,$O21),"Freight/service concession","Customer rebate"))))</x:f>
      </x:c>
      <x:c r="AF21" s="204" t="str">
        <x:f>IF($AA21="","",IF($R21="","No threshold set",IF($AA21&gt;=$R21,"Within configured threshold","Commercial review required")))</x:f>
      </x:c>
      <x:c r="AG21" s="177"/>
    </x:row>
    <x:row r="22">
      <x:c r="A22" s="175"/>
      <x:c r="B22" s="217"/>
      <x:c r="C22" s="176"/>
      <x:c r="D22" s="176"/>
      <x:c r="E22" s="223"/>
      <x:c r="F22" s="253"/>
      <x:c r="G22" s="223"/>
      <x:c r="H22" s="176"/>
      <x:c r="I22" s="223"/>
      <x:c r="J22" s="176"/>
      <x:c r="K22" s="223"/>
      <x:c r="L22" s="176"/>
      <x:c r="M22" s="223"/>
      <x:c r="N22" s="176"/>
      <x:c r="O22" s="223"/>
      <x:c r="P22" s="176"/>
      <x:c r="Q22" s="223"/>
      <x:c r="R22" s="241"/>
      <x:c r="S22" s="229" t="str">
        <x:f>IF(OR($E22="",$F22=""),"",$E22*$F22)</x:f>
      </x:c>
      <x:c r="T22" s="235" t="str">
        <x:f>IF($S22="","",$S22-IF($H22="Percentage",$S22*$I22,$I22)-IF($J22="Percentage",$S22*$K22,$K22))</x:f>
      </x:c>
      <x:c r="U22" s="235" t="str">
        <x:f>IF($T22="","",$T22-IF($L22="Percentage",$T22*$M22,$M22)-IF($N22="Percentage",$T22*$O22,$O22))</x:f>
      </x:c>
      <x:c r="V22" s="235" t="str">
        <x:f>IF(OR($G22="",$F22=""),"",$G22*$F22)</x:f>
      </x:c>
      <x:c r="W22" s="235" t="str">
        <x:f>IF($V22="","",$V22-IF($P22="Percentage",$V22*$Q22,$Q22))</x:f>
      </x:c>
      <x:c r="X22" s="235" t="str">
        <x:f>IF(OR($T22="",$V22=""),"",$T22-$V22)</x:f>
      </x:c>
      <x:c r="Y22" s="247" t="str">
        <x:f>IFERROR($X22/$T22,"")</x:f>
      </x:c>
      <x:c r="Z22" s="235" t="str">
        <x:f>IF(OR($U22="",$W22=""),"",$U22-$W22)</x:f>
      </x:c>
      <x:c r="AA22" s="247" t="str">
        <x:f>IFERROR($Z22/$U22,"")</x:f>
      </x:c>
      <x:c r="AB22" s="235" t="str">
        <x:f>IF(OR($S22="",$U22=""),"",$S22-$U22)</x:f>
      </x:c>
      <x:c r="AC22" s="247" t="str">
        <x:f>IFERROR($AB22/$S22,"")</x:f>
      </x:c>
      <x:c r="AD22" s="247" t="str">
        <x:f>IF(OR($Y22="",$AA22=""),"",$AA22-$Y22)</x:f>
      </x:c>
      <x:c r="AE22" s="199" t="str">
        <x:f>IF($A22="","",IF(IF($H22="Percentage",$S22*$I22,$I22)&gt;=MAX(IF($J22="Percentage",$S22*$K22,$K22),IF($L22="Percentage",$T22*$M22,$M22),IF($N22="Percentage",$T22*$O22,$O22)),"Customer discount",IF(IF($J22="Percentage",$S22*$K22,$K22)&gt;=MAX(IF($L22="Percentage",$T22*$M22,$M22),IF($N22="Percentage",$T22*$O22,$O22)),"Promotional discount",IF(IF($L22="Percentage",$T22*$M22,$M22)&gt;=IF($N22="Percentage",$T22*$O22,$O22),"Freight/service concession","Customer rebate"))))</x:f>
      </x:c>
      <x:c r="AF22" s="204" t="str">
        <x:f>IF($AA22="","",IF($R22="","No threshold set",IF($AA22&gt;=$R22,"Within configured threshold","Commercial review required")))</x:f>
      </x:c>
      <x:c r="AG22" s="177"/>
    </x:row>
    <x:row r="23">
      <x:c r="A23" s="175"/>
      <x:c r="B23" s="217"/>
      <x:c r="C23" s="176"/>
      <x:c r="D23" s="176"/>
      <x:c r="E23" s="223"/>
      <x:c r="F23" s="253"/>
      <x:c r="G23" s="223"/>
      <x:c r="H23" s="176"/>
      <x:c r="I23" s="223"/>
      <x:c r="J23" s="176"/>
      <x:c r="K23" s="223"/>
      <x:c r="L23" s="176"/>
      <x:c r="M23" s="223"/>
      <x:c r="N23" s="176"/>
      <x:c r="O23" s="223"/>
      <x:c r="P23" s="176"/>
      <x:c r="Q23" s="223"/>
      <x:c r="R23" s="241"/>
      <x:c r="S23" s="229" t="str">
        <x:f>IF(OR($E23="",$F23=""),"",$E23*$F23)</x:f>
      </x:c>
      <x:c r="T23" s="235" t="str">
        <x:f>IF($S23="","",$S23-IF($H23="Percentage",$S23*$I23,$I23)-IF($J23="Percentage",$S23*$K23,$K23))</x:f>
      </x:c>
      <x:c r="U23" s="235" t="str">
        <x:f>IF($T23="","",$T23-IF($L23="Percentage",$T23*$M23,$M23)-IF($N23="Percentage",$T23*$O23,$O23))</x:f>
      </x:c>
      <x:c r="V23" s="235" t="str">
        <x:f>IF(OR($G23="",$F23=""),"",$G23*$F23)</x:f>
      </x:c>
      <x:c r="W23" s="235" t="str">
        <x:f>IF($V23="","",$V23-IF($P23="Percentage",$V23*$Q23,$Q23))</x:f>
      </x:c>
      <x:c r="X23" s="235" t="str">
        <x:f>IF(OR($T23="",$V23=""),"",$T23-$V23)</x:f>
      </x:c>
      <x:c r="Y23" s="247" t="str">
        <x:f>IFERROR($X23/$T23,"")</x:f>
      </x:c>
      <x:c r="Z23" s="235" t="str">
        <x:f>IF(OR($U23="",$W23=""),"",$U23-$W23)</x:f>
      </x:c>
      <x:c r="AA23" s="247" t="str">
        <x:f>IFERROR($Z23/$U23,"")</x:f>
      </x:c>
      <x:c r="AB23" s="235" t="str">
        <x:f>IF(OR($S23="",$U23=""),"",$S23-$U23)</x:f>
      </x:c>
      <x:c r="AC23" s="247" t="str">
        <x:f>IFERROR($AB23/$S23,"")</x:f>
      </x:c>
      <x:c r="AD23" s="247" t="str">
        <x:f>IF(OR($Y23="",$AA23=""),"",$AA23-$Y23)</x:f>
      </x:c>
      <x:c r="AE23" s="199" t="str">
        <x:f>IF($A23="","",IF(IF($H23="Percentage",$S23*$I23,$I23)&gt;=MAX(IF($J23="Percentage",$S23*$K23,$K23),IF($L23="Percentage",$T23*$M23,$M23),IF($N23="Percentage",$T23*$O23,$O23)),"Customer discount",IF(IF($J23="Percentage",$S23*$K23,$K23)&gt;=MAX(IF($L23="Percentage",$T23*$M23,$M23),IF($N23="Percentage",$T23*$O23,$O23)),"Promotional discount",IF(IF($L23="Percentage",$T23*$M23,$M23)&gt;=IF($N23="Percentage",$T23*$O23,$O23),"Freight/service concession","Customer rebate"))))</x:f>
      </x:c>
      <x:c r="AF23" s="204" t="str">
        <x:f>IF($AA23="","",IF($R23="","No threshold set",IF($AA23&gt;=$R23,"Within configured threshold","Commercial review required")))</x:f>
      </x:c>
      <x:c r="AG23" s="177"/>
    </x:row>
    <x:row r="24">
      <x:c r="A24" s="175"/>
      <x:c r="B24" s="217"/>
      <x:c r="C24" s="176"/>
      <x:c r="D24" s="176"/>
      <x:c r="E24" s="223"/>
      <x:c r="F24" s="253"/>
      <x:c r="G24" s="223"/>
      <x:c r="H24" s="176"/>
      <x:c r="I24" s="223"/>
      <x:c r="J24" s="176"/>
      <x:c r="K24" s="223"/>
      <x:c r="L24" s="176"/>
      <x:c r="M24" s="223"/>
      <x:c r="N24" s="176"/>
      <x:c r="O24" s="223"/>
      <x:c r="P24" s="176"/>
      <x:c r="Q24" s="223"/>
      <x:c r="R24" s="241"/>
      <x:c r="S24" s="229" t="str">
        <x:f>IF(OR($E24="",$F24=""),"",$E24*$F24)</x:f>
      </x:c>
      <x:c r="T24" s="235" t="str">
        <x:f>IF($S24="","",$S24-IF($H24="Percentage",$S24*$I24,$I24)-IF($J24="Percentage",$S24*$K24,$K24))</x:f>
      </x:c>
      <x:c r="U24" s="235" t="str">
        <x:f>IF($T24="","",$T24-IF($L24="Percentage",$T24*$M24,$M24)-IF($N24="Percentage",$T24*$O24,$O24))</x:f>
      </x:c>
      <x:c r="V24" s="235" t="str">
        <x:f>IF(OR($G24="",$F24=""),"",$G24*$F24)</x:f>
      </x:c>
      <x:c r="W24" s="235" t="str">
        <x:f>IF($V24="","",$V24-IF($P24="Percentage",$V24*$Q24,$Q24))</x:f>
      </x:c>
      <x:c r="X24" s="235" t="str">
        <x:f>IF(OR($T24="",$V24=""),"",$T24-$V24)</x:f>
      </x:c>
      <x:c r="Y24" s="247" t="str">
        <x:f>IFERROR($X24/$T24,"")</x:f>
      </x:c>
      <x:c r="Z24" s="235" t="str">
        <x:f>IF(OR($U24="",$W24=""),"",$U24-$W24)</x:f>
      </x:c>
      <x:c r="AA24" s="247" t="str">
        <x:f>IFERROR($Z24/$U24,"")</x:f>
      </x:c>
      <x:c r="AB24" s="235" t="str">
        <x:f>IF(OR($S24="",$U24=""),"",$S24-$U24)</x:f>
      </x:c>
      <x:c r="AC24" s="247" t="str">
        <x:f>IFERROR($AB24/$S24,"")</x:f>
      </x:c>
      <x:c r="AD24" s="247" t="str">
        <x:f>IF(OR($Y24="",$AA24=""),"",$AA24-$Y24)</x:f>
      </x:c>
      <x:c r="AE24" s="199" t="str">
        <x:f>IF($A24="","",IF(IF($H24="Percentage",$S24*$I24,$I24)&gt;=MAX(IF($J24="Percentage",$S24*$K24,$K24),IF($L24="Percentage",$T24*$M24,$M24),IF($N24="Percentage",$T24*$O24,$O24)),"Customer discount",IF(IF($J24="Percentage",$S24*$K24,$K24)&gt;=MAX(IF($L24="Percentage",$T24*$M24,$M24),IF($N24="Percentage",$T24*$O24,$O24)),"Promotional discount",IF(IF($L24="Percentage",$T24*$M24,$M24)&gt;=IF($N24="Percentage",$T24*$O24,$O24),"Freight/service concession","Customer rebate"))))</x:f>
      </x:c>
      <x:c r="AF24" s="204" t="str">
        <x:f>IF($AA24="","",IF($R24="","No threshold set",IF($AA24&gt;=$R24,"Within configured threshold","Commercial review required")))</x:f>
      </x:c>
      <x:c r="AG24" s="177"/>
    </x:row>
    <x:row r="25">
      <x:c r="A25" s="175"/>
      <x:c r="B25" s="217"/>
      <x:c r="C25" s="176"/>
      <x:c r="D25" s="176"/>
      <x:c r="E25" s="223"/>
      <x:c r="F25" s="253"/>
      <x:c r="G25" s="223"/>
      <x:c r="H25" s="176"/>
      <x:c r="I25" s="223"/>
      <x:c r="J25" s="176"/>
      <x:c r="K25" s="223"/>
      <x:c r="L25" s="176"/>
      <x:c r="M25" s="223"/>
      <x:c r="N25" s="176"/>
      <x:c r="O25" s="223"/>
      <x:c r="P25" s="176"/>
      <x:c r="Q25" s="223"/>
      <x:c r="R25" s="241"/>
      <x:c r="S25" s="229" t="str">
        <x:f>IF(OR($E25="",$F25=""),"",$E25*$F25)</x:f>
      </x:c>
      <x:c r="T25" s="235" t="str">
        <x:f>IF($S25="","",$S25-IF($H25="Percentage",$S25*$I25,$I25)-IF($J25="Percentage",$S25*$K25,$K25))</x:f>
      </x:c>
      <x:c r="U25" s="235" t="str">
        <x:f>IF($T25="","",$T25-IF($L25="Percentage",$T25*$M25,$M25)-IF($N25="Percentage",$T25*$O25,$O25))</x:f>
      </x:c>
      <x:c r="V25" s="235" t="str">
        <x:f>IF(OR($G25="",$F25=""),"",$G25*$F25)</x:f>
      </x:c>
      <x:c r="W25" s="235" t="str">
        <x:f>IF($V25="","",$V25-IF($P25="Percentage",$V25*$Q25,$Q25))</x:f>
      </x:c>
      <x:c r="X25" s="235" t="str">
        <x:f>IF(OR($T25="",$V25=""),"",$T25-$V25)</x:f>
      </x:c>
      <x:c r="Y25" s="247" t="str">
        <x:f>IFERROR($X25/$T25,"")</x:f>
      </x:c>
      <x:c r="Z25" s="235" t="str">
        <x:f>IF(OR($U25="",$W25=""),"",$U25-$W25)</x:f>
      </x:c>
      <x:c r="AA25" s="247" t="str">
        <x:f>IFERROR($Z25/$U25,"")</x:f>
      </x:c>
      <x:c r="AB25" s="235" t="str">
        <x:f>IF(OR($S25="",$U25=""),"",$S25-$U25)</x:f>
      </x:c>
      <x:c r="AC25" s="247" t="str">
        <x:f>IFERROR($AB25/$S25,"")</x:f>
      </x:c>
      <x:c r="AD25" s="247" t="str">
        <x:f>IF(OR($Y25="",$AA25=""),"",$AA25-$Y25)</x:f>
      </x:c>
      <x:c r="AE25" s="199" t="str">
        <x:f>IF($A25="","",IF(IF($H25="Percentage",$S25*$I25,$I25)&gt;=MAX(IF($J25="Percentage",$S25*$K25,$K25),IF($L25="Percentage",$T25*$M25,$M25),IF($N25="Percentage",$T25*$O25,$O25)),"Customer discount",IF(IF($J25="Percentage",$S25*$K25,$K25)&gt;=MAX(IF($L25="Percentage",$T25*$M25,$M25),IF($N25="Percentage",$T25*$O25,$O25)),"Promotional discount",IF(IF($L25="Percentage",$T25*$M25,$M25)&gt;=IF($N25="Percentage",$T25*$O25,$O25),"Freight/service concession","Customer rebate"))))</x:f>
      </x:c>
      <x:c r="AF25" s="204" t="str">
        <x:f>IF($AA25="","",IF($R25="","No threshold set",IF($AA25&gt;=$R25,"Within configured threshold","Commercial review required")))</x:f>
      </x:c>
      <x:c r="AG25" s="177"/>
    </x:row>
    <x:row r="26">
      <x:c r="A26" s="175"/>
      <x:c r="B26" s="217"/>
      <x:c r="C26" s="176"/>
      <x:c r="D26" s="176"/>
      <x:c r="E26" s="223"/>
      <x:c r="F26" s="253"/>
      <x:c r="G26" s="223"/>
      <x:c r="H26" s="176"/>
      <x:c r="I26" s="223"/>
      <x:c r="J26" s="176"/>
      <x:c r="K26" s="223"/>
      <x:c r="L26" s="176"/>
      <x:c r="M26" s="223"/>
      <x:c r="N26" s="176"/>
      <x:c r="O26" s="223"/>
      <x:c r="P26" s="176"/>
      <x:c r="Q26" s="223"/>
      <x:c r="R26" s="241"/>
      <x:c r="S26" s="229" t="str">
        <x:f>IF(OR($E26="",$F26=""),"",$E26*$F26)</x:f>
      </x:c>
      <x:c r="T26" s="235" t="str">
        <x:f>IF($S26="","",$S26-IF($H26="Percentage",$S26*$I26,$I26)-IF($J26="Percentage",$S26*$K26,$K26))</x:f>
      </x:c>
      <x:c r="U26" s="235" t="str">
        <x:f>IF($T26="","",$T26-IF($L26="Percentage",$T26*$M26,$M26)-IF($N26="Percentage",$T26*$O26,$O26))</x:f>
      </x:c>
      <x:c r="V26" s="235" t="str">
        <x:f>IF(OR($G26="",$F26=""),"",$G26*$F26)</x:f>
      </x:c>
      <x:c r="W26" s="235" t="str">
        <x:f>IF($V26="","",$V26-IF($P26="Percentage",$V26*$Q26,$Q26))</x:f>
      </x:c>
      <x:c r="X26" s="235" t="str">
        <x:f>IF(OR($T26="",$V26=""),"",$T26-$V26)</x:f>
      </x:c>
      <x:c r="Y26" s="247" t="str">
        <x:f>IFERROR($X26/$T26,"")</x:f>
      </x:c>
      <x:c r="Z26" s="235" t="str">
        <x:f>IF(OR($U26="",$W26=""),"",$U26-$W26)</x:f>
      </x:c>
      <x:c r="AA26" s="247" t="str">
        <x:f>IFERROR($Z26/$U26,"")</x:f>
      </x:c>
      <x:c r="AB26" s="235" t="str">
        <x:f>IF(OR($S26="",$U26=""),"",$S26-$U26)</x:f>
      </x:c>
      <x:c r="AC26" s="247" t="str">
        <x:f>IFERROR($AB26/$S26,"")</x:f>
      </x:c>
      <x:c r="AD26" s="247" t="str">
        <x:f>IF(OR($Y26="",$AA26=""),"",$AA26-$Y26)</x:f>
      </x:c>
      <x:c r="AE26" s="199" t="str">
        <x:f>IF($A26="","",IF(IF($H26="Percentage",$S26*$I26,$I26)&gt;=MAX(IF($J26="Percentage",$S26*$K26,$K26),IF($L26="Percentage",$T26*$M26,$M26),IF($N26="Percentage",$T26*$O26,$O26)),"Customer discount",IF(IF($J26="Percentage",$S26*$K26,$K26)&gt;=MAX(IF($L26="Percentage",$T26*$M26,$M26),IF($N26="Percentage",$T26*$O26,$O26)),"Promotional discount",IF(IF($L26="Percentage",$T26*$M26,$M26)&gt;=IF($N26="Percentage",$T26*$O26,$O26),"Freight/service concession","Customer rebate"))))</x:f>
      </x:c>
      <x:c r="AF26" s="204" t="str">
        <x:f>IF($AA26="","",IF($R26="","No threshold set",IF($AA26&gt;=$R26,"Within configured threshold","Commercial review required")))</x:f>
      </x:c>
      <x:c r="AG26" s="177"/>
    </x:row>
    <x:row r="27">
      <x:c r="A27" s="175"/>
      <x:c r="B27" s="217"/>
      <x:c r="C27" s="176"/>
      <x:c r="D27" s="176"/>
      <x:c r="E27" s="223"/>
      <x:c r="F27" s="253"/>
      <x:c r="G27" s="223"/>
      <x:c r="H27" s="176"/>
      <x:c r="I27" s="223"/>
      <x:c r="J27" s="176"/>
      <x:c r="K27" s="223"/>
      <x:c r="L27" s="176"/>
      <x:c r="M27" s="223"/>
      <x:c r="N27" s="176"/>
      <x:c r="O27" s="223"/>
      <x:c r="P27" s="176"/>
      <x:c r="Q27" s="223"/>
      <x:c r="R27" s="241"/>
      <x:c r="S27" s="229" t="str">
        <x:f>IF(OR($E27="",$F27=""),"",$E27*$F27)</x:f>
      </x:c>
      <x:c r="T27" s="235" t="str">
        <x:f>IF($S27="","",$S27-IF($H27="Percentage",$S27*$I27,$I27)-IF($J27="Percentage",$S27*$K27,$K27))</x:f>
      </x:c>
      <x:c r="U27" s="235" t="str">
        <x:f>IF($T27="","",$T27-IF($L27="Percentage",$T27*$M27,$M27)-IF($N27="Percentage",$T27*$O27,$O27))</x:f>
      </x:c>
      <x:c r="V27" s="235" t="str">
        <x:f>IF(OR($G27="",$F27=""),"",$G27*$F27)</x:f>
      </x:c>
      <x:c r="W27" s="235" t="str">
        <x:f>IF($V27="","",$V27-IF($P27="Percentage",$V27*$Q27,$Q27))</x:f>
      </x:c>
      <x:c r="X27" s="235" t="str">
        <x:f>IF(OR($T27="",$V27=""),"",$T27-$V27)</x:f>
      </x:c>
      <x:c r="Y27" s="247" t="str">
        <x:f>IFERROR($X27/$T27,"")</x:f>
      </x:c>
      <x:c r="Z27" s="235" t="str">
        <x:f>IF(OR($U27="",$W27=""),"",$U27-$W27)</x:f>
      </x:c>
      <x:c r="AA27" s="247" t="str">
        <x:f>IFERROR($Z27/$U27,"")</x:f>
      </x:c>
      <x:c r="AB27" s="235" t="str">
        <x:f>IF(OR($S27="",$U27=""),"",$S27-$U27)</x:f>
      </x:c>
      <x:c r="AC27" s="247" t="str">
        <x:f>IFERROR($AB27/$S27,"")</x:f>
      </x:c>
      <x:c r="AD27" s="247" t="str">
        <x:f>IF(OR($Y27="",$AA27=""),"",$AA27-$Y27)</x:f>
      </x:c>
      <x:c r="AE27" s="199" t="str">
        <x:f>IF($A27="","",IF(IF($H27="Percentage",$S27*$I27,$I27)&gt;=MAX(IF($J27="Percentage",$S27*$K27,$K27),IF($L27="Percentage",$T27*$M27,$M27),IF($N27="Percentage",$T27*$O27,$O27)),"Customer discount",IF(IF($J27="Percentage",$S27*$K27,$K27)&gt;=MAX(IF($L27="Percentage",$T27*$M27,$M27),IF($N27="Percentage",$T27*$O27,$O27)),"Promotional discount",IF(IF($L27="Percentage",$T27*$M27,$M27)&gt;=IF($N27="Percentage",$T27*$O27,$O27),"Freight/service concession","Customer rebate"))))</x:f>
      </x:c>
      <x:c r="AF27" s="204" t="str">
        <x:f>IF($AA27="","",IF($R27="","No threshold set",IF($AA27&gt;=$R27,"Within configured threshold","Commercial review required")))</x:f>
      </x:c>
      <x:c r="AG27" s="177"/>
    </x:row>
    <x:row r="28">
      <x:c r="A28" s="175"/>
      <x:c r="B28" s="217"/>
      <x:c r="C28" s="176"/>
      <x:c r="D28" s="176"/>
      <x:c r="E28" s="223"/>
      <x:c r="F28" s="253"/>
      <x:c r="G28" s="223"/>
      <x:c r="H28" s="176"/>
      <x:c r="I28" s="223"/>
      <x:c r="J28" s="176"/>
      <x:c r="K28" s="223"/>
      <x:c r="L28" s="176"/>
      <x:c r="M28" s="223"/>
      <x:c r="N28" s="176"/>
      <x:c r="O28" s="223"/>
      <x:c r="P28" s="176"/>
      <x:c r="Q28" s="223"/>
      <x:c r="R28" s="241"/>
      <x:c r="S28" s="229" t="str">
        <x:f>IF(OR($E28="",$F28=""),"",$E28*$F28)</x:f>
      </x:c>
      <x:c r="T28" s="235" t="str">
        <x:f>IF($S28="","",$S28-IF($H28="Percentage",$S28*$I28,$I28)-IF($J28="Percentage",$S28*$K28,$K28))</x:f>
      </x:c>
      <x:c r="U28" s="235" t="str">
        <x:f>IF($T28="","",$T28-IF($L28="Percentage",$T28*$M28,$M28)-IF($N28="Percentage",$T28*$O28,$O28))</x:f>
      </x:c>
      <x:c r="V28" s="235" t="str">
        <x:f>IF(OR($G28="",$F28=""),"",$G28*$F28)</x:f>
      </x:c>
      <x:c r="W28" s="235" t="str">
        <x:f>IF($V28="","",$V28-IF($P28="Percentage",$V28*$Q28,$Q28))</x:f>
      </x:c>
      <x:c r="X28" s="235" t="str">
        <x:f>IF(OR($T28="",$V28=""),"",$T28-$V28)</x:f>
      </x:c>
      <x:c r="Y28" s="247" t="str">
        <x:f>IFERROR($X28/$T28,"")</x:f>
      </x:c>
      <x:c r="Z28" s="235" t="str">
        <x:f>IF(OR($U28="",$W28=""),"",$U28-$W28)</x:f>
      </x:c>
      <x:c r="AA28" s="247" t="str">
        <x:f>IFERROR($Z28/$U28,"")</x:f>
      </x:c>
      <x:c r="AB28" s="235" t="str">
        <x:f>IF(OR($S28="",$U28=""),"",$S28-$U28)</x:f>
      </x:c>
      <x:c r="AC28" s="247" t="str">
        <x:f>IFERROR($AB28/$S28,"")</x:f>
      </x:c>
      <x:c r="AD28" s="247" t="str">
        <x:f>IF(OR($Y28="",$AA28=""),"",$AA28-$Y28)</x:f>
      </x:c>
      <x:c r="AE28" s="199" t="str">
        <x:f>IF($A28="","",IF(IF($H28="Percentage",$S28*$I28,$I28)&gt;=MAX(IF($J28="Percentage",$S28*$K28,$K28),IF($L28="Percentage",$T28*$M28,$M28),IF($N28="Percentage",$T28*$O28,$O28)),"Customer discount",IF(IF($J28="Percentage",$S28*$K28,$K28)&gt;=MAX(IF($L28="Percentage",$T28*$M28,$M28),IF($N28="Percentage",$T28*$O28,$O28)),"Promotional discount",IF(IF($L28="Percentage",$T28*$M28,$M28)&gt;=IF($N28="Percentage",$T28*$O28,$O28),"Freight/service concession","Customer rebate"))))</x:f>
      </x:c>
      <x:c r="AF28" s="204" t="str">
        <x:f>IF($AA28="","",IF($R28="","No threshold set",IF($AA28&gt;=$R28,"Within configured threshold","Commercial review required")))</x:f>
      </x:c>
      <x:c r="AG28" s="177"/>
    </x:row>
    <x:row r="29">
      <x:c r="A29" s="175"/>
      <x:c r="B29" s="217"/>
      <x:c r="C29" s="176"/>
      <x:c r="D29" s="176"/>
      <x:c r="E29" s="223"/>
      <x:c r="F29" s="253"/>
      <x:c r="G29" s="223"/>
      <x:c r="H29" s="176"/>
      <x:c r="I29" s="223"/>
      <x:c r="J29" s="176"/>
      <x:c r="K29" s="223"/>
      <x:c r="L29" s="176"/>
      <x:c r="M29" s="223"/>
      <x:c r="N29" s="176"/>
      <x:c r="O29" s="223"/>
      <x:c r="P29" s="176"/>
      <x:c r="Q29" s="223"/>
      <x:c r="R29" s="241"/>
      <x:c r="S29" s="229" t="str">
        <x:f>IF(OR($E29="",$F29=""),"",$E29*$F29)</x:f>
      </x:c>
      <x:c r="T29" s="235" t="str">
        <x:f>IF($S29="","",$S29-IF($H29="Percentage",$S29*$I29,$I29)-IF($J29="Percentage",$S29*$K29,$K29))</x:f>
      </x:c>
      <x:c r="U29" s="235" t="str">
        <x:f>IF($T29="","",$T29-IF($L29="Percentage",$T29*$M29,$M29)-IF($N29="Percentage",$T29*$O29,$O29))</x:f>
      </x:c>
      <x:c r="V29" s="235" t="str">
        <x:f>IF(OR($G29="",$F29=""),"",$G29*$F29)</x:f>
      </x:c>
      <x:c r="W29" s="235" t="str">
        <x:f>IF($V29="","",$V29-IF($P29="Percentage",$V29*$Q29,$Q29))</x:f>
      </x:c>
      <x:c r="X29" s="235" t="str">
        <x:f>IF(OR($T29="",$V29=""),"",$T29-$V29)</x:f>
      </x:c>
      <x:c r="Y29" s="247" t="str">
        <x:f>IFERROR($X29/$T29,"")</x:f>
      </x:c>
      <x:c r="Z29" s="235" t="str">
        <x:f>IF(OR($U29="",$W29=""),"",$U29-$W29)</x:f>
      </x:c>
      <x:c r="AA29" s="247" t="str">
        <x:f>IFERROR($Z29/$U29,"")</x:f>
      </x:c>
      <x:c r="AB29" s="235" t="str">
        <x:f>IF(OR($S29="",$U29=""),"",$S29-$U29)</x:f>
      </x:c>
      <x:c r="AC29" s="247" t="str">
        <x:f>IFERROR($AB29/$S29,"")</x:f>
      </x:c>
      <x:c r="AD29" s="247" t="str">
        <x:f>IF(OR($Y29="",$AA29=""),"",$AA29-$Y29)</x:f>
      </x:c>
      <x:c r="AE29" s="199" t="str">
        <x:f>IF($A29="","",IF(IF($H29="Percentage",$S29*$I29,$I29)&gt;=MAX(IF($J29="Percentage",$S29*$K29,$K29),IF($L29="Percentage",$T29*$M29,$M29),IF($N29="Percentage",$T29*$O29,$O29)),"Customer discount",IF(IF($J29="Percentage",$S29*$K29,$K29)&gt;=MAX(IF($L29="Percentage",$T29*$M29,$M29),IF($N29="Percentage",$T29*$O29,$O29)),"Promotional discount",IF(IF($L29="Percentage",$T29*$M29,$M29)&gt;=IF($N29="Percentage",$T29*$O29,$O29),"Freight/service concession","Customer rebate"))))</x:f>
      </x:c>
      <x:c r="AF29" s="204" t="str">
        <x:f>IF($AA29="","",IF($R29="","No threshold set",IF($AA29&gt;=$R29,"Within configured threshold","Commercial review required")))</x:f>
      </x:c>
      <x:c r="AG29" s="177"/>
    </x:row>
    <x:row r="30">
      <x:c r="A30" s="175"/>
      <x:c r="B30" s="217"/>
      <x:c r="C30" s="176"/>
      <x:c r="D30" s="176"/>
      <x:c r="E30" s="223"/>
      <x:c r="F30" s="253"/>
      <x:c r="G30" s="223"/>
      <x:c r="H30" s="176"/>
      <x:c r="I30" s="223"/>
      <x:c r="J30" s="176"/>
      <x:c r="K30" s="223"/>
      <x:c r="L30" s="176"/>
      <x:c r="M30" s="223"/>
      <x:c r="N30" s="176"/>
      <x:c r="O30" s="223"/>
      <x:c r="P30" s="176"/>
      <x:c r="Q30" s="223"/>
      <x:c r="R30" s="241"/>
      <x:c r="S30" s="229" t="str">
        <x:f>IF(OR($E30="",$F30=""),"",$E30*$F30)</x:f>
      </x:c>
      <x:c r="T30" s="235" t="str">
        <x:f>IF($S30="","",$S30-IF($H30="Percentage",$S30*$I30,$I30)-IF($J30="Percentage",$S30*$K30,$K30))</x:f>
      </x:c>
      <x:c r="U30" s="235" t="str">
        <x:f>IF($T30="","",$T30-IF($L30="Percentage",$T30*$M30,$M30)-IF($N30="Percentage",$T30*$O30,$O30))</x:f>
      </x:c>
      <x:c r="V30" s="235" t="str">
        <x:f>IF(OR($G30="",$F30=""),"",$G30*$F30)</x:f>
      </x:c>
      <x:c r="W30" s="235" t="str">
        <x:f>IF($V30="","",$V30-IF($P30="Percentage",$V30*$Q30,$Q30))</x:f>
      </x:c>
      <x:c r="X30" s="235" t="str">
        <x:f>IF(OR($T30="",$V30=""),"",$T30-$V30)</x:f>
      </x:c>
      <x:c r="Y30" s="247" t="str">
        <x:f>IFERROR($X30/$T30,"")</x:f>
      </x:c>
      <x:c r="Z30" s="235" t="str">
        <x:f>IF(OR($U30="",$W30=""),"",$U30-$W30)</x:f>
      </x:c>
      <x:c r="AA30" s="247" t="str">
        <x:f>IFERROR($Z30/$U30,"")</x:f>
      </x:c>
      <x:c r="AB30" s="235" t="str">
        <x:f>IF(OR($S30="",$U30=""),"",$S30-$U30)</x:f>
      </x:c>
      <x:c r="AC30" s="247" t="str">
        <x:f>IFERROR($AB30/$S30,"")</x:f>
      </x:c>
      <x:c r="AD30" s="247" t="str">
        <x:f>IF(OR($Y30="",$AA30=""),"",$AA30-$Y30)</x:f>
      </x:c>
      <x:c r="AE30" s="199" t="str">
        <x:f>IF($A30="","",IF(IF($H30="Percentage",$S30*$I30,$I30)&gt;=MAX(IF($J30="Percentage",$S30*$K30,$K30),IF($L30="Percentage",$T30*$M30,$M30),IF($N30="Percentage",$T30*$O30,$O30)),"Customer discount",IF(IF($J30="Percentage",$S30*$K30,$K30)&gt;=MAX(IF($L30="Percentage",$T30*$M30,$M30),IF($N30="Percentage",$T30*$O30,$O30)),"Promotional discount",IF(IF($L30="Percentage",$T30*$M30,$M30)&gt;=IF($N30="Percentage",$T30*$O30,$O30),"Freight/service concession","Customer rebate"))))</x:f>
      </x:c>
      <x:c r="AF30" s="204" t="str">
        <x:f>IF($AA30="","",IF($R30="","No threshold set",IF($AA30&gt;=$R30,"Within configured threshold","Commercial review required")))</x:f>
      </x:c>
      <x:c r="AG30" s="177"/>
    </x:row>
    <x:row r="31">
      <x:c r="A31" s="175"/>
      <x:c r="B31" s="217"/>
      <x:c r="C31" s="176"/>
      <x:c r="D31" s="176"/>
      <x:c r="E31" s="223"/>
      <x:c r="F31" s="253"/>
      <x:c r="G31" s="223"/>
      <x:c r="H31" s="176"/>
      <x:c r="I31" s="223"/>
      <x:c r="J31" s="176"/>
      <x:c r="K31" s="223"/>
      <x:c r="L31" s="176"/>
      <x:c r="M31" s="223"/>
      <x:c r="N31" s="176"/>
      <x:c r="O31" s="223"/>
      <x:c r="P31" s="176"/>
      <x:c r="Q31" s="223"/>
      <x:c r="R31" s="241"/>
      <x:c r="S31" s="229" t="str">
        <x:f>IF(OR($E31="",$F31=""),"",$E31*$F31)</x:f>
      </x:c>
      <x:c r="T31" s="235" t="str">
        <x:f>IF($S31="","",$S31-IF($H31="Percentage",$S31*$I31,$I31)-IF($J31="Percentage",$S31*$K31,$K31))</x:f>
      </x:c>
      <x:c r="U31" s="235" t="str">
        <x:f>IF($T31="","",$T31-IF($L31="Percentage",$T31*$M31,$M31)-IF($N31="Percentage",$T31*$O31,$O31))</x:f>
      </x:c>
      <x:c r="V31" s="235" t="str">
        <x:f>IF(OR($G31="",$F31=""),"",$G31*$F31)</x:f>
      </x:c>
      <x:c r="W31" s="235" t="str">
        <x:f>IF($V31="","",$V31-IF($P31="Percentage",$V31*$Q31,$Q31))</x:f>
      </x:c>
      <x:c r="X31" s="235" t="str">
        <x:f>IF(OR($T31="",$V31=""),"",$T31-$V31)</x:f>
      </x:c>
      <x:c r="Y31" s="247" t="str">
        <x:f>IFERROR($X31/$T31,"")</x:f>
      </x:c>
      <x:c r="Z31" s="235" t="str">
        <x:f>IF(OR($U31="",$W31=""),"",$U31-$W31)</x:f>
      </x:c>
      <x:c r="AA31" s="247" t="str">
        <x:f>IFERROR($Z31/$U31,"")</x:f>
      </x:c>
      <x:c r="AB31" s="235" t="str">
        <x:f>IF(OR($S31="",$U31=""),"",$S31-$U31)</x:f>
      </x:c>
      <x:c r="AC31" s="247" t="str">
        <x:f>IFERROR($AB31/$S31,"")</x:f>
      </x:c>
      <x:c r="AD31" s="247" t="str">
        <x:f>IF(OR($Y31="",$AA31=""),"",$AA31-$Y31)</x:f>
      </x:c>
      <x:c r="AE31" s="199" t="str">
        <x:f>IF($A31="","",IF(IF($H31="Percentage",$S31*$I31,$I31)&gt;=MAX(IF($J31="Percentage",$S31*$K31,$K31),IF($L31="Percentage",$T31*$M31,$M31),IF($N31="Percentage",$T31*$O31,$O31)),"Customer discount",IF(IF($J31="Percentage",$S31*$K31,$K31)&gt;=MAX(IF($L31="Percentage",$T31*$M31,$M31),IF($N31="Percentage",$T31*$O31,$O31)),"Promotional discount",IF(IF($L31="Percentage",$T31*$M31,$M31)&gt;=IF($N31="Percentage",$T31*$O31,$O31),"Freight/service concession","Customer rebate"))))</x:f>
      </x:c>
      <x:c r="AF31" s="204" t="str">
        <x:f>IF($AA31="","",IF($R31="","No threshold set",IF($AA31&gt;=$R31,"Within configured threshold","Commercial review required")))</x:f>
      </x:c>
      <x:c r="AG31" s="177"/>
    </x:row>
    <x:row r="32">
      <x:c r="A32" s="175"/>
      <x:c r="B32" s="217"/>
      <x:c r="C32" s="176"/>
      <x:c r="D32" s="176"/>
      <x:c r="E32" s="223"/>
      <x:c r="F32" s="253"/>
      <x:c r="G32" s="223"/>
      <x:c r="H32" s="176"/>
      <x:c r="I32" s="223"/>
      <x:c r="J32" s="176"/>
      <x:c r="K32" s="223"/>
      <x:c r="L32" s="176"/>
      <x:c r="M32" s="223"/>
      <x:c r="N32" s="176"/>
      <x:c r="O32" s="223"/>
      <x:c r="P32" s="176"/>
      <x:c r="Q32" s="223"/>
      <x:c r="R32" s="241"/>
      <x:c r="S32" s="229" t="str">
        <x:f>IF(OR($E32="",$F32=""),"",$E32*$F32)</x:f>
      </x:c>
      <x:c r="T32" s="235" t="str">
        <x:f>IF($S32="","",$S32-IF($H32="Percentage",$S32*$I32,$I32)-IF($J32="Percentage",$S32*$K32,$K32))</x:f>
      </x:c>
      <x:c r="U32" s="235" t="str">
        <x:f>IF($T32="","",$T32-IF($L32="Percentage",$T32*$M32,$M32)-IF($N32="Percentage",$T32*$O32,$O32))</x:f>
      </x:c>
      <x:c r="V32" s="235" t="str">
        <x:f>IF(OR($G32="",$F32=""),"",$G32*$F32)</x:f>
      </x:c>
      <x:c r="W32" s="235" t="str">
        <x:f>IF($V32="","",$V32-IF($P32="Percentage",$V32*$Q32,$Q32))</x:f>
      </x:c>
      <x:c r="X32" s="235" t="str">
        <x:f>IF(OR($T32="",$V32=""),"",$T32-$V32)</x:f>
      </x:c>
      <x:c r="Y32" s="247" t="str">
        <x:f>IFERROR($X32/$T32,"")</x:f>
      </x:c>
      <x:c r="Z32" s="235" t="str">
        <x:f>IF(OR($U32="",$W32=""),"",$U32-$W32)</x:f>
      </x:c>
      <x:c r="AA32" s="247" t="str">
        <x:f>IFERROR($Z32/$U32,"")</x:f>
      </x:c>
      <x:c r="AB32" s="235" t="str">
        <x:f>IF(OR($S32="",$U32=""),"",$S32-$U32)</x:f>
      </x:c>
      <x:c r="AC32" s="247" t="str">
        <x:f>IFERROR($AB32/$S32,"")</x:f>
      </x:c>
      <x:c r="AD32" s="247" t="str">
        <x:f>IF(OR($Y32="",$AA32=""),"",$AA32-$Y32)</x:f>
      </x:c>
      <x:c r="AE32" s="199" t="str">
        <x:f>IF($A32="","",IF(IF($H32="Percentage",$S32*$I32,$I32)&gt;=MAX(IF($J32="Percentage",$S32*$K32,$K32),IF($L32="Percentage",$T32*$M32,$M32),IF($N32="Percentage",$T32*$O32,$O32)),"Customer discount",IF(IF($J32="Percentage",$S32*$K32,$K32)&gt;=MAX(IF($L32="Percentage",$T32*$M32,$M32),IF($N32="Percentage",$T32*$O32,$O32)),"Promotional discount",IF(IF($L32="Percentage",$T32*$M32,$M32)&gt;=IF($N32="Percentage",$T32*$O32,$O32),"Freight/service concession","Customer rebate"))))</x:f>
      </x:c>
      <x:c r="AF32" s="204" t="str">
        <x:f>IF($AA32="","",IF($R32="","No threshold set",IF($AA32&gt;=$R32,"Within configured threshold","Commercial review required")))</x:f>
      </x:c>
      <x:c r="AG32" s="177"/>
    </x:row>
    <x:row r="33">
      <x:c r="A33" s="175"/>
      <x:c r="B33" s="217"/>
      <x:c r="C33" s="176"/>
      <x:c r="D33" s="176"/>
      <x:c r="E33" s="223"/>
      <x:c r="F33" s="253"/>
      <x:c r="G33" s="223"/>
      <x:c r="H33" s="176"/>
      <x:c r="I33" s="223"/>
      <x:c r="J33" s="176"/>
      <x:c r="K33" s="223"/>
      <x:c r="L33" s="176"/>
      <x:c r="M33" s="223"/>
      <x:c r="N33" s="176"/>
      <x:c r="O33" s="223"/>
      <x:c r="P33" s="176"/>
      <x:c r="Q33" s="223"/>
      <x:c r="R33" s="241"/>
      <x:c r="S33" s="229" t="str">
        <x:f>IF(OR($E33="",$F33=""),"",$E33*$F33)</x:f>
      </x:c>
      <x:c r="T33" s="235" t="str">
        <x:f>IF($S33="","",$S33-IF($H33="Percentage",$S33*$I33,$I33)-IF($J33="Percentage",$S33*$K33,$K33))</x:f>
      </x:c>
      <x:c r="U33" s="235" t="str">
        <x:f>IF($T33="","",$T33-IF($L33="Percentage",$T33*$M33,$M33)-IF($N33="Percentage",$T33*$O33,$O33))</x:f>
      </x:c>
      <x:c r="V33" s="235" t="str">
        <x:f>IF(OR($G33="",$F33=""),"",$G33*$F33)</x:f>
      </x:c>
      <x:c r="W33" s="235" t="str">
        <x:f>IF($V33="","",$V33-IF($P33="Percentage",$V33*$Q33,$Q33))</x:f>
      </x:c>
      <x:c r="X33" s="235" t="str">
        <x:f>IF(OR($T33="",$V33=""),"",$T33-$V33)</x:f>
      </x:c>
      <x:c r="Y33" s="247" t="str">
        <x:f>IFERROR($X33/$T33,"")</x:f>
      </x:c>
      <x:c r="Z33" s="235" t="str">
        <x:f>IF(OR($U33="",$W33=""),"",$U33-$W33)</x:f>
      </x:c>
      <x:c r="AA33" s="247" t="str">
        <x:f>IFERROR($Z33/$U33,"")</x:f>
      </x:c>
      <x:c r="AB33" s="235" t="str">
        <x:f>IF(OR($S33="",$U33=""),"",$S33-$U33)</x:f>
      </x:c>
      <x:c r="AC33" s="247" t="str">
        <x:f>IFERROR($AB33/$S33,"")</x:f>
      </x:c>
      <x:c r="AD33" s="247" t="str">
        <x:f>IF(OR($Y33="",$AA33=""),"",$AA33-$Y33)</x:f>
      </x:c>
      <x:c r="AE33" s="199" t="str">
        <x:f>IF($A33="","",IF(IF($H33="Percentage",$S33*$I33,$I33)&gt;=MAX(IF($J33="Percentage",$S33*$K33,$K33),IF($L33="Percentage",$T33*$M33,$M33),IF($N33="Percentage",$T33*$O33,$O33)),"Customer discount",IF(IF($J33="Percentage",$S33*$K33,$K33)&gt;=MAX(IF($L33="Percentage",$T33*$M33,$M33),IF($N33="Percentage",$T33*$O33,$O33)),"Promotional discount",IF(IF($L33="Percentage",$T33*$M33,$M33)&gt;=IF($N33="Percentage",$T33*$O33,$O33),"Freight/service concession","Customer rebate"))))</x:f>
      </x:c>
      <x:c r="AF33" s="204" t="str">
        <x:f>IF($AA33="","",IF($R33="","No threshold set",IF($AA33&gt;=$R33,"Within configured threshold","Commercial review required")))</x:f>
      </x:c>
      <x:c r="AG33" s="177"/>
    </x:row>
    <x:row r="34">
      <x:c r="A34" s="175"/>
      <x:c r="B34" s="217"/>
      <x:c r="C34" s="176"/>
      <x:c r="D34" s="176"/>
      <x:c r="E34" s="223"/>
      <x:c r="F34" s="253"/>
      <x:c r="G34" s="223"/>
      <x:c r="H34" s="176"/>
      <x:c r="I34" s="223"/>
      <x:c r="J34" s="176"/>
      <x:c r="K34" s="223"/>
      <x:c r="L34" s="176"/>
      <x:c r="M34" s="223"/>
      <x:c r="N34" s="176"/>
      <x:c r="O34" s="223"/>
      <x:c r="P34" s="176"/>
      <x:c r="Q34" s="223"/>
      <x:c r="R34" s="241"/>
      <x:c r="S34" s="229" t="str">
        <x:f>IF(OR($E34="",$F34=""),"",$E34*$F34)</x:f>
      </x:c>
      <x:c r="T34" s="235" t="str">
        <x:f>IF($S34="","",$S34-IF($H34="Percentage",$S34*$I34,$I34)-IF($J34="Percentage",$S34*$K34,$K34))</x:f>
      </x:c>
      <x:c r="U34" s="235" t="str">
        <x:f>IF($T34="","",$T34-IF($L34="Percentage",$T34*$M34,$M34)-IF($N34="Percentage",$T34*$O34,$O34))</x:f>
      </x:c>
      <x:c r="V34" s="235" t="str">
        <x:f>IF(OR($G34="",$F34=""),"",$G34*$F34)</x:f>
      </x:c>
      <x:c r="W34" s="235" t="str">
        <x:f>IF($V34="","",$V34-IF($P34="Percentage",$V34*$Q34,$Q34))</x:f>
      </x:c>
      <x:c r="X34" s="235" t="str">
        <x:f>IF(OR($T34="",$V34=""),"",$T34-$V34)</x:f>
      </x:c>
      <x:c r="Y34" s="247" t="str">
        <x:f>IFERROR($X34/$T34,"")</x:f>
      </x:c>
      <x:c r="Z34" s="235" t="str">
        <x:f>IF(OR($U34="",$W34=""),"",$U34-$W34)</x:f>
      </x:c>
      <x:c r="AA34" s="247" t="str">
        <x:f>IFERROR($Z34/$U34,"")</x:f>
      </x:c>
      <x:c r="AB34" s="235" t="str">
        <x:f>IF(OR($S34="",$U34=""),"",$S34-$U34)</x:f>
      </x:c>
      <x:c r="AC34" s="247" t="str">
        <x:f>IFERROR($AB34/$S34,"")</x:f>
      </x:c>
      <x:c r="AD34" s="247" t="str">
        <x:f>IF(OR($Y34="",$AA34=""),"",$AA34-$Y34)</x:f>
      </x:c>
      <x:c r="AE34" s="199" t="str">
        <x:f>IF($A34="","",IF(IF($H34="Percentage",$S34*$I34,$I34)&gt;=MAX(IF($J34="Percentage",$S34*$K34,$K34),IF($L34="Percentage",$T34*$M34,$M34),IF($N34="Percentage",$T34*$O34,$O34)),"Customer discount",IF(IF($J34="Percentage",$S34*$K34,$K34)&gt;=MAX(IF($L34="Percentage",$T34*$M34,$M34),IF($N34="Percentage",$T34*$O34,$O34)),"Promotional discount",IF(IF($L34="Percentage",$T34*$M34,$M34)&gt;=IF($N34="Percentage",$T34*$O34,$O34),"Freight/service concession","Customer rebate"))))</x:f>
      </x:c>
      <x:c r="AF34" s="204" t="str">
        <x:f>IF($AA34="","",IF($R34="","No threshold set",IF($AA34&gt;=$R34,"Within configured threshold","Commercial review required")))</x:f>
      </x:c>
      <x:c r="AG34" s="177"/>
    </x:row>
    <x:row r="35">
      <x:c r="A35" s="175"/>
      <x:c r="B35" s="217"/>
      <x:c r="C35" s="176"/>
      <x:c r="D35" s="176"/>
      <x:c r="E35" s="223"/>
      <x:c r="F35" s="253"/>
      <x:c r="G35" s="223"/>
      <x:c r="H35" s="176"/>
      <x:c r="I35" s="223"/>
      <x:c r="J35" s="176"/>
      <x:c r="K35" s="223"/>
      <x:c r="L35" s="176"/>
      <x:c r="M35" s="223"/>
      <x:c r="N35" s="176"/>
      <x:c r="O35" s="223"/>
      <x:c r="P35" s="176"/>
      <x:c r="Q35" s="223"/>
      <x:c r="R35" s="241"/>
      <x:c r="S35" s="229" t="str">
        <x:f>IF(OR($E35="",$F35=""),"",$E35*$F35)</x:f>
      </x:c>
      <x:c r="T35" s="235" t="str">
        <x:f>IF($S35="","",$S35-IF($H35="Percentage",$S35*$I35,$I35)-IF($J35="Percentage",$S35*$K35,$K35))</x:f>
      </x:c>
      <x:c r="U35" s="235" t="str">
        <x:f>IF($T35="","",$T35-IF($L35="Percentage",$T35*$M35,$M35)-IF($N35="Percentage",$T35*$O35,$O35))</x:f>
      </x:c>
      <x:c r="V35" s="235" t="str">
        <x:f>IF(OR($G35="",$F35=""),"",$G35*$F35)</x:f>
      </x:c>
      <x:c r="W35" s="235" t="str">
        <x:f>IF($V35="","",$V35-IF($P35="Percentage",$V35*$Q35,$Q35))</x:f>
      </x:c>
      <x:c r="X35" s="235" t="str">
        <x:f>IF(OR($T35="",$V35=""),"",$T35-$V35)</x:f>
      </x:c>
      <x:c r="Y35" s="247" t="str">
        <x:f>IFERROR($X35/$T35,"")</x:f>
      </x:c>
      <x:c r="Z35" s="235" t="str">
        <x:f>IF(OR($U35="",$W35=""),"",$U35-$W35)</x:f>
      </x:c>
      <x:c r="AA35" s="247" t="str">
        <x:f>IFERROR($Z35/$U35,"")</x:f>
      </x:c>
      <x:c r="AB35" s="235" t="str">
        <x:f>IF(OR($S35="",$U35=""),"",$S35-$U35)</x:f>
      </x:c>
      <x:c r="AC35" s="247" t="str">
        <x:f>IFERROR($AB35/$S35,"")</x:f>
      </x:c>
      <x:c r="AD35" s="247" t="str">
        <x:f>IF(OR($Y35="",$AA35=""),"",$AA35-$Y35)</x:f>
      </x:c>
      <x:c r="AE35" s="199" t="str">
        <x:f>IF($A35="","",IF(IF($H35="Percentage",$S35*$I35,$I35)&gt;=MAX(IF($J35="Percentage",$S35*$K35,$K35),IF($L35="Percentage",$T35*$M35,$M35),IF($N35="Percentage",$T35*$O35,$O35)),"Customer discount",IF(IF($J35="Percentage",$S35*$K35,$K35)&gt;=MAX(IF($L35="Percentage",$T35*$M35,$M35),IF($N35="Percentage",$T35*$O35,$O35)),"Promotional discount",IF(IF($L35="Percentage",$T35*$M35,$M35)&gt;=IF($N35="Percentage",$T35*$O35,$O35),"Freight/service concession","Customer rebate"))))</x:f>
      </x:c>
      <x:c r="AF35" s="204" t="str">
        <x:f>IF($AA35="","",IF($R35="","No threshold set",IF($AA35&gt;=$R35,"Within configured threshold","Commercial review required")))</x:f>
      </x:c>
      <x:c r="AG35" s="177"/>
    </x:row>
    <x:row r="36">
      <x:c r="A36" s="175"/>
      <x:c r="B36" s="217"/>
      <x:c r="C36" s="176"/>
      <x:c r="D36" s="176"/>
      <x:c r="E36" s="223"/>
      <x:c r="F36" s="253"/>
      <x:c r="G36" s="223"/>
      <x:c r="H36" s="176"/>
      <x:c r="I36" s="223"/>
      <x:c r="J36" s="176"/>
      <x:c r="K36" s="223"/>
      <x:c r="L36" s="176"/>
      <x:c r="M36" s="223"/>
      <x:c r="N36" s="176"/>
      <x:c r="O36" s="223"/>
      <x:c r="P36" s="176"/>
      <x:c r="Q36" s="223"/>
      <x:c r="R36" s="241"/>
      <x:c r="S36" s="229" t="str">
        <x:f>IF(OR($E36="",$F36=""),"",$E36*$F36)</x:f>
      </x:c>
      <x:c r="T36" s="235" t="str">
        <x:f>IF($S36="","",$S36-IF($H36="Percentage",$S36*$I36,$I36)-IF($J36="Percentage",$S36*$K36,$K36))</x:f>
      </x:c>
      <x:c r="U36" s="235" t="str">
        <x:f>IF($T36="","",$T36-IF($L36="Percentage",$T36*$M36,$M36)-IF($N36="Percentage",$T36*$O36,$O36))</x:f>
      </x:c>
      <x:c r="V36" s="235" t="str">
        <x:f>IF(OR($G36="",$F36=""),"",$G36*$F36)</x:f>
      </x:c>
      <x:c r="W36" s="235" t="str">
        <x:f>IF($V36="","",$V36-IF($P36="Percentage",$V36*$Q36,$Q36))</x:f>
      </x:c>
      <x:c r="X36" s="235" t="str">
        <x:f>IF(OR($T36="",$V36=""),"",$T36-$V36)</x:f>
      </x:c>
      <x:c r="Y36" s="247" t="str">
        <x:f>IFERROR($X36/$T36,"")</x:f>
      </x:c>
      <x:c r="Z36" s="235" t="str">
        <x:f>IF(OR($U36="",$W36=""),"",$U36-$W36)</x:f>
      </x:c>
      <x:c r="AA36" s="247" t="str">
        <x:f>IFERROR($Z36/$U36,"")</x:f>
      </x:c>
      <x:c r="AB36" s="235" t="str">
        <x:f>IF(OR($S36="",$U36=""),"",$S36-$U36)</x:f>
      </x:c>
      <x:c r="AC36" s="247" t="str">
        <x:f>IFERROR($AB36/$S36,"")</x:f>
      </x:c>
      <x:c r="AD36" s="247" t="str">
        <x:f>IF(OR($Y36="",$AA36=""),"",$AA36-$Y36)</x:f>
      </x:c>
      <x:c r="AE36" s="199" t="str">
        <x:f>IF($A36="","",IF(IF($H36="Percentage",$S36*$I36,$I36)&gt;=MAX(IF($J36="Percentage",$S36*$K36,$K36),IF($L36="Percentage",$T36*$M36,$M36),IF($N36="Percentage",$T36*$O36,$O36)),"Customer discount",IF(IF($J36="Percentage",$S36*$K36,$K36)&gt;=MAX(IF($L36="Percentage",$T36*$M36,$M36),IF($N36="Percentage",$T36*$O36,$O36)),"Promotional discount",IF(IF($L36="Percentage",$T36*$M36,$M36)&gt;=IF($N36="Percentage",$T36*$O36,$O36),"Freight/service concession","Customer rebate"))))</x:f>
      </x:c>
      <x:c r="AF36" s="204" t="str">
        <x:f>IF($AA36="","",IF($R36="","No threshold set",IF($AA36&gt;=$R36,"Within configured threshold","Commercial review required")))</x:f>
      </x:c>
      <x:c r="AG36" s="177"/>
    </x:row>
    <x:row r="37">
      <x:c r="A37" s="175"/>
      <x:c r="B37" s="217"/>
      <x:c r="C37" s="176"/>
      <x:c r="D37" s="176"/>
      <x:c r="E37" s="223"/>
      <x:c r="F37" s="253"/>
      <x:c r="G37" s="223"/>
      <x:c r="H37" s="176"/>
      <x:c r="I37" s="223"/>
      <x:c r="J37" s="176"/>
      <x:c r="K37" s="223"/>
      <x:c r="L37" s="176"/>
      <x:c r="M37" s="223"/>
      <x:c r="N37" s="176"/>
      <x:c r="O37" s="223"/>
      <x:c r="P37" s="176"/>
      <x:c r="Q37" s="223"/>
      <x:c r="R37" s="241"/>
      <x:c r="S37" s="229" t="str">
        <x:f>IF(OR($E37="",$F37=""),"",$E37*$F37)</x:f>
      </x:c>
      <x:c r="T37" s="235" t="str">
        <x:f>IF($S37="","",$S37-IF($H37="Percentage",$S37*$I37,$I37)-IF($J37="Percentage",$S37*$K37,$K37))</x:f>
      </x:c>
      <x:c r="U37" s="235" t="str">
        <x:f>IF($T37="","",$T37-IF($L37="Percentage",$T37*$M37,$M37)-IF($N37="Percentage",$T37*$O37,$O37))</x:f>
      </x:c>
      <x:c r="V37" s="235" t="str">
        <x:f>IF(OR($G37="",$F37=""),"",$G37*$F37)</x:f>
      </x:c>
      <x:c r="W37" s="235" t="str">
        <x:f>IF($V37="","",$V37-IF($P37="Percentage",$V37*$Q37,$Q37))</x:f>
      </x:c>
      <x:c r="X37" s="235" t="str">
        <x:f>IF(OR($T37="",$V37=""),"",$T37-$V37)</x:f>
      </x:c>
      <x:c r="Y37" s="247" t="str">
        <x:f>IFERROR($X37/$T37,"")</x:f>
      </x:c>
      <x:c r="Z37" s="235" t="str">
        <x:f>IF(OR($U37="",$W37=""),"",$U37-$W37)</x:f>
      </x:c>
      <x:c r="AA37" s="247" t="str">
        <x:f>IFERROR($Z37/$U37,"")</x:f>
      </x:c>
      <x:c r="AB37" s="235" t="str">
        <x:f>IF(OR($S37="",$U37=""),"",$S37-$U37)</x:f>
      </x:c>
      <x:c r="AC37" s="247" t="str">
        <x:f>IFERROR($AB37/$S37,"")</x:f>
      </x:c>
      <x:c r="AD37" s="247" t="str">
        <x:f>IF(OR($Y37="",$AA37=""),"",$AA37-$Y37)</x:f>
      </x:c>
      <x:c r="AE37" s="199" t="str">
        <x:f>IF($A37="","",IF(IF($H37="Percentage",$S37*$I37,$I37)&gt;=MAX(IF($J37="Percentage",$S37*$K37,$K37),IF($L37="Percentage",$T37*$M37,$M37),IF($N37="Percentage",$T37*$O37,$O37)),"Customer discount",IF(IF($J37="Percentage",$S37*$K37,$K37)&gt;=MAX(IF($L37="Percentage",$T37*$M37,$M37),IF($N37="Percentage",$T37*$O37,$O37)),"Promotional discount",IF(IF($L37="Percentage",$T37*$M37,$M37)&gt;=IF($N37="Percentage",$T37*$O37,$O37),"Freight/service concession","Customer rebate"))))</x:f>
      </x:c>
      <x:c r="AF37" s="204" t="str">
        <x:f>IF($AA37="","",IF($R37="","No threshold set",IF($AA37&gt;=$R37,"Within configured threshold","Commercial review required")))</x:f>
      </x:c>
      <x:c r="AG37" s="177"/>
    </x:row>
    <x:row r="38">
      <x:c r="A38" s="175"/>
      <x:c r="B38" s="217"/>
      <x:c r="C38" s="176"/>
      <x:c r="D38" s="176"/>
      <x:c r="E38" s="223"/>
      <x:c r="F38" s="253"/>
      <x:c r="G38" s="223"/>
      <x:c r="H38" s="176"/>
      <x:c r="I38" s="223"/>
      <x:c r="J38" s="176"/>
      <x:c r="K38" s="223"/>
      <x:c r="L38" s="176"/>
      <x:c r="M38" s="223"/>
      <x:c r="N38" s="176"/>
      <x:c r="O38" s="223"/>
      <x:c r="P38" s="176"/>
      <x:c r="Q38" s="223"/>
      <x:c r="R38" s="241"/>
      <x:c r="S38" s="229" t="str">
        <x:f>IF(OR($E38="",$F38=""),"",$E38*$F38)</x:f>
      </x:c>
      <x:c r="T38" s="235" t="str">
        <x:f>IF($S38="","",$S38-IF($H38="Percentage",$S38*$I38,$I38)-IF($J38="Percentage",$S38*$K38,$K38))</x:f>
      </x:c>
      <x:c r="U38" s="235" t="str">
        <x:f>IF($T38="","",$T38-IF($L38="Percentage",$T38*$M38,$M38)-IF($N38="Percentage",$T38*$O38,$O38))</x:f>
      </x:c>
      <x:c r="V38" s="235" t="str">
        <x:f>IF(OR($G38="",$F38=""),"",$G38*$F38)</x:f>
      </x:c>
      <x:c r="W38" s="235" t="str">
        <x:f>IF($V38="","",$V38-IF($P38="Percentage",$V38*$Q38,$Q38))</x:f>
      </x:c>
      <x:c r="X38" s="235" t="str">
        <x:f>IF(OR($T38="",$V38=""),"",$T38-$V38)</x:f>
      </x:c>
      <x:c r="Y38" s="247" t="str">
        <x:f>IFERROR($X38/$T38,"")</x:f>
      </x:c>
      <x:c r="Z38" s="235" t="str">
        <x:f>IF(OR($U38="",$W38=""),"",$U38-$W38)</x:f>
      </x:c>
      <x:c r="AA38" s="247" t="str">
        <x:f>IFERROR($Z38/$U38,"")</x:f>
      </x:c>
      <x:c r="AB38" s="235" t="str">
        <x:f>IF(OR($S38="",$U38=""),"",$S38-$U38)</x:f>
      </x:c>
      <x:c r="AC38" s="247" t="str">
        <x:f>IFERROR($AB38/$S38,"")</x:f>
      </x:c>
      <x:c r="AD38" s="247" t="str">
        <x:f>IF(OR($Y38="",$AA38=""),"",$AA38-$Y38)</x:f>
      </x:c>
      <x:c r="AE38" s="199" t="str">
        <x:f>IF($A38="","",IF(IF($H38="Percentage",$S38*$I38,$I38)&gt;=MAX(IF($J38="Percentage",$S38*$K38,$K38),IF($L38="Percentage",$T38*$M38,$M38),IF($N38="Percentage",$T38*$O38,$O38)),"Customer discount",IF(IF($J38="Percentage",$S38*$K38,$K38)&gt;=MAX(IF($L38="Percentage",$T38*$M38,$M38),IF($N38="Percentage",$T38*$O38,$O38)),"Promotional discount",IF(IF($L38="Percentage",$T38*$M38,$M38)&gt;=IF($N38="Percentage",$T38*$O38,$O38),"Freight/service concession","Customer rebate"))))</x:f>
      </x:c>
      <x:c r="AF38" s="204" t="str">
        <x:f>IF($AA38="","",IF($R38="","No threshold set",IF($AA38&gt;=$R38,"Within configured threshold","Commercial review required")))</x:f>
      </x:c>
      <x:c r="AG38" s="177"/>
    </x:row>
    <x:row r="39">
      <x:c r="A39" s="175"/>
      <x:c r="B39" s="217"/>
      <x:c r="C39" s="176"/>
      <x:c r="D39" s="176"/>
      <x:c r="E39" s="223"/>
      <x:c r="F39" s="253"/>
      <x:c r="G39" s="223"/>
      <x:c r="H39" s="176"/>
      <x:c r="I39" s="223"/>
      <x:c r="J39" s="176"/>
      <x:c r="K39" s="223"/>
      <x:c r="L39" s="176"/>
      <x:c r="M39" s="223"/>
      <x:c r="N39" s="176"/>
      <x:c r="O39" s="223"/>
      <x:c r="P39" s="176"/>
      <x:c r="Q39" s="223"/>
      <x:c r="R39" s="241"/>
      <x:c r="S39" s="229" t="str">
        <x:f>IF(OR($E39="",$F39=""),"",$E39*$F39)</x:f>
      </x:c>
      <x:c r="T39" s="235" t="str">
        <x:f>IF($S39="","",$S39-IF($H39="Percentage",$S39*$I39,$I39)-IF($J39="Percentage",$S39*$K39,$K39))</x:f>
      </x:c>
      <x:c r="U39" s="235" t="str">
        <x:f>IF($T39="","",$T39-IF($L39="Percentage",$T39*$M39,$M39)-IF($N39="Percentage",$T39*$O39,$O39))</x:f>
      </x:c>
      <x:c r="V39" s="235" t="str">
        <x:f>IF(OR($G39="",$F39=""),"",$G39*$F39)</x:f>
      </x:c>
      <x:c r="W39" s="235" t="str">
        <x:f>IF($V39="","",$V39-IF($P39="Percentage",$V39*$Q39,$Q39))</x:f>
      </x:c>
      <x:c r="X39" s="235" t="str">
        <x:f>IF(OR($T39="",$V39=""),"",$T39-$V39)</x:f>
      </x:c>
      <x:c r="Y39" s="247" t="str">
        <x:f>IFERROR($X39/$T39,"")</x:f>
      </x:c>
      <x:c r="Z39" s="235" t="str">
        <x:f>IF(OR($U39="",$W39=""),"",$U39-$W39)</x:f>
      </x:c>
      <x:c r="AA39" s="247" t="str">
        <x:f>IFERROR($Z39/$U39,"")</x:f>
      </x:c>
      <x:c r="AB39" s="235" t="str">
        <x:f>IF(OR($S39="",$U39=""),"",$S39-$U39)</x:f>
      </x:c>
      <x:c r="AC39" s="247" t="str">
        <x:f>IFERROR($AB39/$S39,"")</x:f>
      </x:c>
      <x:c r="AD39" s="247" t="str">
        <x:f>IF(OR($Y39="",$AA39=""),"",$AA39-$Y39)</x:f>
      </x:c>
      <x:c r="AE39" s="199" t="str">
        <x:f>IF($A39="","",IF(IF($H39="Percentage",$S39*$I39,$I39)&gt;=MAX(IF($J39="Percentage",$S39*$K39,$K39),IF($L39="Percentage",$T39*$M39,$M39),IF($N39="Percentage",$T39*$O39,$O39)),"Customer discount",IF(IF($J39="Percentage",$S39*$K39,$K39)&gt;=MAX(IF($L39="Percentage",$T39*$M39,$M39),IF($N39="Percentage",$T39*$O39,$O39)),"Promotional discount",IF(IF($L39="Percentage",$T39*$M39,$M39)&gt;=IF($N39="Percentage",$T39*$O39,$O39),"Freight/service concession","Customer rebate"))))</x:f>
      </x:c>
      <x:c r="AF39" s="204" t="str">
        <x:f>IF($AA39="","",IF($R39="","No threshold set",IF($AA39&gt;=$R39,"Within configured threshold","Commercial review required")))</x:f>
      </x:c>
      <x:c r="AG39" s="177"/>
    </x:row>
    <x:row r="40">
      <x:c r="A40" s="175"/>
      <x:c r="B40" s="217"/>
      <x:c r="C40" s="176"/>
      <x:c r="D40" s="176"/>
      <x:c r="E40" s="223"/>
      <x:c r="F40" s="253"/>
      <x:c r="G40" s="223"/>
      <x:c r="H40" s="176"/>
      <x:c r="I40" s="223"/>
      <x:c r="J40" s="176"/>
      <x:c r="K40" s="223"/>
      <x:c r="L40" s="176"/>
      <x:c r="M40" s="223"/>
      <x:c r="N40" s="176"/>
      <x:c r="O40" s="223"/>
      <x:c r="P40" s="176"/>
      <x:c r="Q40" s="223"/>
      <x:c r="R40" s="241"/>
      <x:c r="S40" s="229" t="str">
        <x:f>IF(OR($E40="",$F40=""),"",$E40*$F40)</x:f>
      </x:c>
      <x:c r="T40" s="235" t="str">
        <x:f>IF($S40="","",$S40-IF($H40="Percentage",$S40*$I40,$I40)-IF($J40="Percentage",$S40*$K40,$K40))</x:f>
      </x:c>
      <x:c r="U40" s="235" t="str">
        <x:f>IF($T40="","",$T40-IF($L40="Percentage",$T40*$M40,$M40)-IF($N40="Percentage",$T40*$O40,$O40))</x:f>
      </x:c>
      <x:c r="V40" s="235" t="str">
        <x:f>IF(OR($G40="",$F40=""),"",$G40*$F40)</x:f>
      </x:c>
      <x:c r="W40" s="235" t="str">
        <x:f>IF($V40="","",$V40-IF($P40="Percentage",$V40*$Q40,$Q40))</x:f>
      </x:c>
      <x:c r="X40" s="235" t="str">
        <x:f>IF(OR($T40="",$V40=""),"",$T40-$V40)</x:f>
      </x:c>
      <x:c r="Y40" s="247" t="str">
        <x:f>IFERROR($X40/$T40,"")</x:f>
      </x:c>
      <x:c r="Z40" s="235" t="str">
        <x:f>IF(OR($U40="",$W40=""),"",$U40-$W40)</x:f>
      </x:c>
      <x:c r="AA40" s="247" t="str">
        <x:f>IFERROR($Z40/$U40,"")</x:f>
      </x:c>
      <x:c r="AB40" s="235" t="str">
        <x:f>IF(OR($S40="",$U40=""),"",$S40-$U40)</x:f>
      </x:c>
      <x:c r="AC40" s="247" t="str">
        <x:f>IFERROR($AB40/$S40,"")</x:f>
      </x:c>
      <x:c r="AD40" s="247" t="str">
        <x:f>IF(OR($Y40="",$AA40=""),"",$AA40-$Y40)</x:f>
      </x:c>
      <x:c r="AE40" s="199" t="str">
        <x:f>IF($A40="","",IF(IF($H40="Percentage",$S40*$I40,$I40)&gt;=MAX(IF($J40="Percentage",$S40*$K40,$K40),IF($L40="Percentage",$T40*$M40,$M40),IF($N40="Percentage",$T40*$O40,$O40)),"Customer discount",IF(IF($J40="Percentage",$S40*$K40,$K40)&gt;=MAX(IF($L40="Percentage",$T40*$M40,$M40),IF($N40="Percentage",$T40*$O40,$O40)),"Promotional discount",IF(IF($L40="Percentage",$T40*$M40,$M40)&gt;=IF($N40="Percentage",$T40*$O40,$O40),"Freight/service concession","Customer rebate"))))</x:f>
      </x:c>
      <x:c r="AF40" s="204" t="str">
        <x:f>IF($AA40="","",IF($R40="","No threshold set",IF($AA40&gt;=$R40,"Within configured threshold","Commercial review required")))</x:f>
      </x:c>
      <x:c r="AG40" s="177"/>
    </x:row>
    <x:row r="41">
      <x:c r="A41" s="175"/>
      <x:c r="B41" s="217"/>
      <x:c r="C41" s="176"/>
      <x:c r="D41" s="176"/>
      <x:c r="E41" s="223"/>
      <x:c r="F41" s="253"/>
      <x:c r="G41" s="223"/>
      <x:c r="H41" s="176"/>
      <x:c r="I41" s="223"/>
      <x:c r="J41" s="176"/>
      <x:c r="K41" s="223"/>
      <x:c r="L41" s="176"/>
      <x:c r="M41" s="223"/>
      <x:c r="N41" s="176"/>
      <x:c r="O41" s="223"/>
      <x:c r="P41" s="176"/>
      <x:c r="Q41" s="223"/>
      <x:c r="R41" s="241"/>
      <x:c r="S41" s="229" t="str">
        <x:f>IF(OR($E41="",$F41=""),"",$E41*$F41)</x:f>
      </x:c>
      <x:c r="T41" s="235" t="str">
        <x:f>IF($S41="","",$S41-IF($H41="Percentage",$S41*$I41,$I41)-IF($J41="Percentage",$S41*$K41,$K41))</x:f>
      </x:c>
      <x:c r="U41" s="235" t="str">
        <x:f>IF($T41="","",$T41-IF($L41="Percentage",$T41*$M41,$M41)-IF($N41="Percentage",$T41*$O41,$O41))</x:f>
      </x:c>
      <x:c r="V41" s="235" t="str">
        <x:f>IF(OR($G41="",$F41=""),"",$G41*$F41)</x:f>
      </x:c>
      <x:c r="W41" s="235" t="str">
        <x:f>IF($V41="","",$V41-IF($P41="Percentage",$V41*$Q41,$Q41))</x:f>
      </x:c>
      <x:c r="X41" s="235" t="str">
        <x:f>IF(OR($T41="",$V41=""),"",$T41-$V41)</x:f>
      </x:c>
      <x:c r="Y41" s="247" t="str">
        <x:f>IFERROR($X41/$T41,"")</x:f>
      </x:c>
      <x:c r="Z41" s="235" t="str">
        <x:f>IF(OR($U41="",$W41=""),"",$U41-$W41)</x:f>
      </x:c>
      <x:c r="AA41" s="247" t="str">
        <x:f>IFERROR($Z41/$U41,"")</x:f>
      </x:c>
      <x:c r="AB41" s="235" t="str">
        <x:f>IF(OR($S41="",$U41=""),"",$S41-$U41)</x:f>
      </x:c>
      <x:c r="AC41" s="247" t="str">
        <x:f>IFERROR($AB41/$S41,"")</x:f>
      </x:c>
      <x:c r="AD41" s="247" t="str">
        <x:f>IF(OR($Y41="",$AA41=""),"",$AA41-$Y41)</x:f>
      </x:c>
      <x:c r="AE41" s="199" t="str">
        <x:f>IF($A41="","",IF(IF($H41="Percentage",$S41*$I41,$I41)&gt;=MAX(IF($J41="Percentage",$S41*$K41,$K41),IF($L41="Percentage",$T41*$M41,$M41),IF($N41="Percentage",$T41*$O41,$O41)),"Customer discount",IF(IF($J41="Percentage",$S41*$K41,$K41)&gt;=MAX(IF($L41="Percentage",$T41*$M41,$M41),IF($N41="Percentage",$T41*$O41,$O41)),"Promotional discount",IF(IF($L41="Percentage",$T41*$M41,$M41)&gt;=IF($N41="Percentage",$T41*$O41,$O41),"Freight/service concession","Customer rebate"))))</x:f>
      </x:c>
      <x:c r="AF41" s="204" t="str">
        <x:f>IF($AA41="","",IF($R41="","No threshold set",IF($AA41&gt;=$R41,"Within configured threshold","Commercial review required")))</x:f>
      </x:c>
      <x:c r="AG41" s="177"/>
    </x:row>
    <x:row r="42">
      <x:c r="A42" s="175"/>
      <x:c r="B42" s="217"/>
      <x:c r="C42" s="176"/>
      <x:c r="D42" s="176"/>
      <x:c r="E42" s="223"/>
      <x:c r="F42" s="253"/>
      <x:c r="G42" s="223"/>
      <x:c r="H42" s="176"/>
      <x:c r="I42" s="223"/>
      <x:c r="J42" s="176"/>
      <x:c r="K42" s="223"/>
      <x:c r="L42" s="176"/>
      <x:c r="M42" s="223"/>
      <x:c r="N42" s="176"/>
      <x:c r="O42" s="223"/>
      <x:c r="P42" s="176"/>
      <x:c r="Q42" s="223"/>
      <x:c r="R42" s="241"/>
      <x:c r="S42" s="229" t="str">
        <x:f>IF(OR($E42="",$F42=""),"",$E42*$F42)</x:f>
      </x:c>
      <x:c r="T42" s="235" t="str">
        <x:f>IF($S42="","",$S42-IF($H42="Percentage",$S42*$I42,$I42)-IF($J42="Percentage",$S42*$K42,$K42))</x:f>
      </x:c>
      <x:c r="U42" s="235" t="str">
        <x:f>IF($T42="","",$T42-IF($L42="Percentage",$T42*$M42,$M42)-IF($N42="Percentage",$T42*$O42,$O42))</x:f>
      </x:c>
      <x:c r="V42" s="235" t="str">
        <x:f>IF(OR($G42="",$F42=""),"",$G42*$F42)</x:f>
      </x:c>
      <x:c r="W42" s="235" t="str">
        <x:f>IF($V42="","",$V42-IF($P42="Percentage",$V42*$Q42,$Q42))</x:f>
      </x:c>
      <x:c r="X42" s="235" t="str">
        <x:f>IF(OR($T42="",$V42=""),"",$T42-$V42)</x:f>
      </x:c>
      <x:c r="Y42" s="247" t="str">
        <x:f>IFERROR($X42/$T42,"")</x:f>
      </x:c>
      <x:c r="Z42" s="235" t="str">
        <x:f>IF(OR($U42="",$W42=""),"",$U42-$W42)</x:f>
      </x:c>
      <x:c r="AA42" s="247" t="str">
        <x:f>IFERROR($Z42/$U42,"")</x:f>
      </x:c>
      <x:c r="AB42" s="235" t="str">
        <x:f>IF(OR($S42="",$U42=""),"",$S42-$U42)</x:f>
      </x:c>
      <x:c r="AC42" s="247" t="str">
        <x:f>IFERROR($AB42/$S42,"")</x:f>
      </x:c>
      <x:c r="AD42" s="247" t="str">
        <x:f>IF(OR($Y42="",$AA42=""),"",$AA42-$Y42)</x:f>
      </x:c>
      <x:c r="AE42" s="199" t="str">
        <x:f>IF($A42="","",IF(IF($H42="Percentage",$S42*$I42,$I42)&gt;=MAX(IF($J42="Percentage",$S42*$K42,$K42),IF($L42="Percentage",$T42*$M42,$M42),IF($N42="Percentage",$T42*$O42,$O42)),"Customer discount",IF(IF($J42="Percentage",$S42*$K42,$K42)&gt;=MAX(IF($L42="Percentage",$T42*$M42,$M42),IF($N42="Percentage",$T42*$O42,$O42)),"Promotional discount",IF(IF($L42="Percentage",$T42*$M42,$M42)&gt;=IF($N42="Percentage",$T42*$O42,$O42),"Freight/service concession","Customer rebate"))))</x:f>
      </x:c>
      <x:c r="AF42" s="204" t="str">
        <x:f>IF($AA42="","",IF($R42="","No threshold set",IF($AA42&gt;=$R42,"Within configured threshold","Commercial review required")))</x:f>
      </x:c>
      <x:c r="AG42" s="177"/>
    </x:row>
    <x:row r="43">
      <x:c r="A43" s="175"/>
      <x:c r="B43" s="217"/>
      <x:c r="C43" s="176"/>
      <x:c r="D43" s="176"/>
      <x:c r="E43" s="223"/>
      <x:c r="F43" s="253"/>
      <x:c r="G43" s="223"/>
      <x:c r="H43" s="176"/>
      <x:c r="I43" s="223"/>
      <x:c r="J43" s="176"/>
      <x:c r="K43" s="223"/>
      <x:c r="L43" s="176"/>
      <x:c r="M43" s="223"/>
      <x:c r="N43" s="176"/>
      <x:c r="O43" s="223"/>
      <x:c r="P43" s="176"/>
      <x:c r="Q43" s="223"/>
      <x:c r="R43" s="241"/>
      <x:c r="S43" s="229" t="str">
        <x:f>IF(OR($E43="",$F43=""),"",$E43*$F43)</x:f>
      </x:c>
      <x:c r="T43" s="235" t="str">
        <x:f>IF($S43="","",$S43-IF($H43="Percentage",$S43*$I43,$I43)-IF($J43="Percentage",$S43*$K43,$K43))</x:f>
      </x:c>
      <x:c r="U43" s="235" t="str">
        <x:f>IF($T43="","",$T43-IF($L43="Percentage",$T43*$M43,$M43)-IF($N43="Percentage",$T43*$O43,$O43))</x:f>
      </x:c>
      <x:c r="V43" s="235" t="str">
        <x:f>IF(OR($G43="",$F43=""),"",$G43*$F43)</x:f>
      </x:c>
      <x:c r="W43" s="235" t="str">
        <x:f>IF($V43="","",$V43-IF($P43="Percentage",$V43*$Q43,$Q43))</x:f>
      </x:c>
      <x:c r="X43" s="235" t="str">
        <x:f>IF(OR($T43="",$V43=""),"",$T43-$V43)</x:f>
      </x:c>
      <x:c r="Y43" s="247" t="str">
        <x:f>IFERROR($X43/$T43,"")</x:f>
      </x:c>
      <x:c r="Z43" s="235" t="str">
        <x:f>IF(OR($U43="",$W43=""),"",$U43-$W43)</x:f>
      </x:c>
      <x:c r="AA43" s="247" t="str">
        <x:f>IFERROR($Z43/$U43,"")</x:f>
      </x:c>
      <x:c r="AB43" s="235" t="str">
        <x:f>IF(OR($S43="",$U43=""),"",$S43-$U43)</x:f>
      </x:c>
      <x:c r="AC43" s="247" t="str">
        <x:f>IFERROR($AB43/$S43,"")</x:f>
      </x:c>
      <x:c r="AD43" s="247" t="str">
        <x:f>IF(OR($Y43="",$AA43=""),"",$AA43-$Y43)</x:f>
      </x:c>
      <x:c r="AE43" s="199" t="str">
        <x:f>IF($A43="","",IF(IF($H43="Percentage",$S43*$I43,$I43)&gt;=MAX(IF($J43="Percentage",$S43*$K43,$K43),IF($L43="Percentage",$T43*$M43,$M43),IF($N43="Percentage",$T43*$O43,$O43)),"Customer discount",IF(IF($J43="Percentage",$S43*$K43,$K43)&gt;=MAX(IF($L43="Percentage",$T43*$M43,$M43),IF($N43="Percentage",$T43*$O43,$O43)),"Promotional discount",IF(IF($L43="Percentage",$T43*$M43,$M43)&gt;=IF($N43="Percentage",$T43*$O43,$O43),"Freight/service concession","Customer rebate"))))</x:f>
      </x:c>
      <x:c r="AF43" s="204" t="str">
        <x:f>IF($AA43="","",IF($R43="","No threshold set",IF($AA43&gt;=$R43,"Within configured threshold","Commercial review required")))</x:f>
      </x:c>
      <x:c r="AG43" s="177"/>
    </x:row>
    <x:row r="44">
      <x:c r="A44" s="175"/>
      <x:c r="B44" s="217"/>
      <x:c r="C44" s="176"/>
      <x:c r="D44" s="176"/>
      <x:c r="E44" s="223"/>
      <x:c r="F44" s="253"/>
      <x:c r="G44" s="223"/>
      <x:c r="H44" s="176"/>
      <x:c r="I44" s="223"/>
      <x:c r="J44" s="176"/>
      <x:c r="K44" s="223"/>
      <x:c r="L44" s="176"/>
      <x:c r="M44" s="223"/>
      <x:c r="N44" s="176"/>
      <x:c r="O44" s="223"/>
      <x:c r="P44" s="176"/>
      <x:c r="Q44" s="223"/>
      <x:c r="R44" s="241"/>
      <x:c r="S44" s="229" t="str">
        <x:f>IF(OR($E44="",$F44=""),"",$E44*$F44)</x:f>
      </x:c>
      <x:c r="T44" s="235" t="str">
        <x:f>IF($S44="","",$S44-IF($H44="Percentage",$S44*$I44,$I44)-IF($J44="Percentage",$S44*$K44,$K44))</x:f>
      </x:c>
      <x:c r="U44" s="235" t="str">
        <x:f>IF($T44="","",$T44-IF($L44="Percentage",$T44*$M44,$M44)-IF($N44="Percentage",$T44*$O44,$O44))</x:f>
      </x:c>
      <x:c r="V44" s="235" t="str">
        <x:f>IF(OR($G44="",$F44=""),"",$G44*$F44)</x:f>
      </x:c>
      <x:c r="W44" s="235" t="str">
        <x:f>IF($V44="","",$V44-IF($P44="Percentage",$V44*$Q44,$Q44))</x:f>
      </x:c>
      <x:c r="X44" s="235" t="str">
        <x:f>IF(OR($T44="",$V44=""),"",$T44-$V44)</x:f>
      </x:c>
      <x:c r="Y44" s="247" t="str">
        <x:f>IFERROR($X44/$T44,"")</x:f>
      </x:c>
      <x:c r="Z44" s="235" t="str">
        <x:f>IF(OR($U44="",$W44=""),"",$U44-$W44)</x:f>
      </x:c>
      <x:c r="AA44" s="247" t="str">
        <x:f>IFERROR($Z44/$U44,"")</x:f>
      </x:c>
      <x:c r="AB44" s="235" t="str">
        <x:f>IF(OR($S44="",$U44=""),"",$S44-$U44)</x:f>
      </x:c>
      <x:c r="AC44" s="247" t="str">
        <x:f>IFERROR($AB44/$S44,"")</x:f>
      </x:c>
      <x:c r="AD44" s="247" t="str">
        <x:f>IF(OR($Y44="",$AA44=""),"",$AA44-$Y44)</x:f>
      </x:c>
      <x:c r="AE44" s="199" t="str">
        <x:f>IF($A44="","",IF(IF($H44="Percentage",$S44*$I44,$I44)&gt;=MAX(IF($J44="Percentage",$S44*$K44,$K44),IF($L44="Percentage",$T44*$M44,$M44),IF($N44="Percentage",$T44*$O44,$O44)),"Customer discount",IF(IF($J44="Percentage",$S44*$K44,$K44)&gt;=MAX(IF($L44="Percentage",$T44*$M44,$M44),IF($N44="Percentage",$T44*$O44,$O44)),"Promotional discount",IF(IF($L44="Percentage",$T44*$M44,$M44)&gt;=IF($N44="Percentage",$T44*$O44,$O44),"Freight/service concession","Customer rebate"))))</x:f>
      </x:c>
      <x:c r="AF44" s="204" t="str">
        <x:f>IF($AA44="","",IF($R44="","No threshold set",IF($AA44&gt;=$R44,"Within configured threshold","Commercial review required")))</x:f>
      </x:c>
      <x:c r="AG44" s="177"/>
    </x:row>
    <x:row r="45">
      <x:c r="A45" s="175"/>
      <x:c r="B45" s="217"/>
      <x:c r="C45" s="176"/>
      <x:c r="D45" s="176"/>
      <x:c r="E45" s="223"/>
      <x:c r="F45" s="253"/>
      <x:c r="G45" s="223"/>
      <x:c r="H45" s="176"/>
      <x:c r="I45" s="223"/>
      <x:c r="J45" s="176"/>
      <x:c r="K45" s="223"/>
      <x:c r="L45" s="176"/>
      <x:c r="M45" s="223"/>
      <x:c r="N45" s="176"/>
      <x:c r="O45" s="223"/>
      <x:c r="P45" s="176"/>
      <x:c r="Q45" s="223"/>
      <x:c r="R45" s="241"/>
      <x:c r="S45" s="229" t="str">
        <x:f>IF(OR($E45="",$F45=""),"",$E45*$F45)</x:f>
      </x:c>
      <x:c r="T45" s="235" t="str">
        <x:f>IF($S45="","",$S45-IF($H45="Percentage",$S45*$I45,$I45)-IF($J45="Percentage",$S45*$K45,$K45))</x:f>
      </x:c>
      <x:c r="U45" s="235" t="str">
        <x:f>IF($T45="","",$T45-IF($L45="Percentage",$T45*$M45,$M45)-IF($N45="Percentage",$T45*$O45,$O45))</x:f>
      </x:c>
      <x:c r="V45" s="235" t="str">
        <x:f>IF(OR($G45="",$F45=""),"",$G45*$F45)</x:f>
      </x:c>
      <x:c r="W45" s="235" t="str">
        <x:f>IF($V45="","",$V45-IF($P45="Percentage",$V45*$Q45,$Q45))</x:f>
      </x:c>
      <x:c r="X45" s="235" t="str">
        <x:f>IF(OR($T45="",$V45=""),"",$T45-$V45)</x:f>
      </x:c>
      <x:c r="Y45" s="247" t="str">
        <x:f>IFERROR($X45/$T45,"")</x:f>
      </x:c>
      <x:c r="Z45" s="235" t="str">
        <x:f>IF(OR($U45="",$W45=""),"",$U45-$W45)</x:f>
      </x:c>
      <x:c r="AA45" s="247" t="str">
        <x:f>IFERROR($Z45/$U45,"")</x:f>
      </x:c>
      <x:c r="AB45" s="235" t="str">
        <x:f>IF(OR($S45="",$U45=""),"",$S45-$U45)</x:f>
      </x:c>
      <x:c r="AC45" s="247" t="str">
        <x:f>IFERROR($AB45/$S45,"")</x:f>
      </x:c>
      <x:c r="AD45" s="247" t="str">
        <x:f>IF(OR($Y45="",$AA45=""),"",$AA45-$Y45)</x:f>
      </x:c>
      <x:c r="AE45" s="199" t="str">
        <x:f>IF($A45="","",IF(IF($H45="Percentage",$S45*$I45,$I45)&gt;=MAX(IF($J45="Percentage",$S45*$K45,$K45),IF($L45="Percentage",$T45*$M45,$M45),IF($N45="Percentage",$T45*$O45,$O45)),"Customer discount",IF(IF($J45="Percentage",$S45*$K45,$K45)&gt;=MAX(IF($L45="Percentage",$T45*$M45,$M45),IF($N45="Percentage",$T45*$O45,$O45)),"Promotional discount",IF(IF($L45="Percentage",$T45*$M45,$M45)&gt;=IF($N45="Percentage",$T45*$O45,$O45),"Freight/service concession","Customer rebate"))))</x:f>
      </x:c>
      <x:c r="AF45" s="204" t="str">
        <x:f>IF($AA45="","",IF($R45="","No threshold set",IF($AA45&gt;=$R45,"Within configured threshold","Commercial review required")))</x:f>
      </x:c>
      <x:c r="AG45" s="177"/>
    </x:row>
    <x:row r="46">
      <x:c r="A46" s="175"/>
      <x:c r="B46" s="217"/>
      <x:c r="C46" s="176"/>
      <x:c r="D46" s="176"/>
      <x:c r="E46" s="223"/>
      <x:c r="F46" s="253"/>
      <x:c r="G46" s="223"/>
      <x:c r="H46" s="176"/>
      <x:c r="I46" s="223"/>
      <x:c r="J46" s="176"/>
      <x:c r="K46" s="223"/>
      <x:c r="L46" s="176"/>
      <x:c r="M46" s="223"/>
      <x:c r="N46" s="176"/>
      <x:c r="O46" s="223"/>
      <x:c r="P46" s="176"/>
      <x:c r="Q46" s="223"/>
      <x:c r="R46" s="241"/>
      <x:c r="S46" s="229" t="str">
        <x:f>IF(OR($E46="",$F46=""),"",$E46*$F46)</x:f>
      </x:c>
      <x:c r="T46" s="235" t="str">
        <x:f>IF($S46="","",$S46-IF($H46="Percentage",$S46*$I46,$I46)-IF($J46="Percentage",$S46*$K46,$K46))</x:f>
      </x:c>
      <x:c r="U46" s="235" t="str">
        <x:f>IF($T46="","",$T46-IF($L46="Percentage",$T46*$M46,$M46)-IF($N46="Percentage",$T46*$O46,$O46))</x:f>
      </x:c>
      <x:c r="V46" s="235" t="str">
        <x:f>IF(OR($G46="",$F46=""),"",$G46*$F46)</x:f>
      </x:c>
      <x:c r="W46" s="235" t="str">
        <x:f>IF($V46="","",$V46-IF($P46="Percentage",$V46*$Q46,$Q46))</x:f>
      </x:c>
      <x:c r="X46" s="235" t="str">
        <x:f>IF(OR($T46="",$V46=""),"",$T46-$V46)</x:f>
      </x:c>
      <x:c r="Y46" s="247" t="str">
        <x:f>IFERROR($X46/$T46,"")</x:f>
      </x:c>
      <x:c r="Z46" s="235" t="str">
        <x:f>IF(OR($U46="",$W46=""),"",$U46-$W46)</x:f>
      </x:c>
      <x:c r="AA46" s="247" t="str">
        <x:f>IFERROR($Z46/$U46,"")</x:f>
      </x:c>
      <x:c r="AB46" s="235" t="str">
        <x:f>IF(OR($S46="",$U46=""),"",$S46-$U46)</x:f>
      </x:c>
      <x:c r="AC46" s="247" t="str">
        <x:f>IFERROR($AB46/$S46,"")</x:f>
      </x:c>
      <x:c r="AD46" s="247" t="str">
        <x:f>IF(OR($Y46="",$AA46=""),"",$AA46-$Y46)</x:f>
      </x:c>
      <x:c r="AE46" s="199" t="str">
        <x:f>IF($A46="","",IF(IF($H46="Percentage",$S46*$I46,$I46)&gt;=MAX(IF($J46="Percentage",$S46*$K46,$K46),IF($L46="Percentage",$T46*$M46,$M46),IF($N46="Percentage",$T46*$O46,$O46)),"Customer discount",IF(IF($J46="Percentage",$S46*$K46,$K46)&gt;=MAX(IF($L46="Percentage",$T46*$M46,$M46),IF($N46="Percentage",$T46*$O46,$O46)),"Promotional discount",IF(IF($L46="Percentage",$T46*$M46,$M46)&gt;=IF($N46="Percentage",$T46*$O46,$O46),"Freight/service concession","Customer rebate"))))</x:f>
      </x:c>
      <x:c r="AF46" s="204" t="str">
        <x:f>IF($AA46="","",IF($R46="","No threshold set",IF($AA46&gt;=$R46,"Within configured threshold","Commercial review required")))</x:f>
      </x:c>
      <x:c r="AG46" s="177"/>
    </x:row>
    <x:row r="47">
      <x:c r="A47" s="175"/>
      <x:c r="B47" s="217"/>
      <x:c r="C47" s="176"/>
      <x:c r="D47" s="176"/>
      <x:c r="E47" s="223"/>
      <x:c r="F47" s="253"/>
      <x:c r="G47" s="223"/>
      <x:c r="H47" s="176"/>
      <x:c r="I47" s="223"/>
      <x:c r="J47" s="176"/>
      <x:c r="K47" s="223"/>
      <x:c r="L47" s="176"/>
      <x:c r="M47" s="223"/>
      <x:c r="N47" s="176"/>
      <x:c r="O47" s="223"/>
      <x:c r="P47" s="176"/>
      <x:c r="Q47" s="223"/>
      <x:c r="R47" s="241"/>
      <x:c r="S47" s="229" t="str">
        <x:f>IF(OR($E47="",$F47=""),"",$E47*$F47)</x:f>
      </x:c>
      <x:c r="T47" s="235" t="str">
        <x:f>IF($S47="","",$S47-IF($H47="Percentage",$S47*$I47,$I47)-IF($J47="Percentage",$S47*$K47,$K47))</x:f>
      </x:c>
      <x:c r="U47" s="235" t="str">
        <x:f>IF($T47="","",$T47-IF($L47="Percentage",$T47*$M47,$M47)-IF($N47="Percentage",$T47*$O47,$O47))</x:f>
      </x:c>
      <x:c r="V47" s="235" t="str">
        <x:f>IF(OR($G47="",$F47=""),"",$G47*$F47)</x:f>
      </x:c>
      <x:c r="W47" s="235" t="str">
        <x:f>IF($V47="","",$V47-IF($P47="Percentage",$V47*$Q47,$Q47))</x:f>
      </x:c>
      <x:c r="X47" s="235" t="str">
        <x:f>IF(OR($T47="",$V47=""),"",$T47-$V47)</x:f>
      </x:c>
      <x:c r="Y47" s="247" t="str">
        <x:f>IFERROR($X47/$T47,"")</x:f>
      </x:c>
      <x:c r="Z47" s="235" t="str">
        <x:f>IF(OR($U47="",$W47=""),"",$U47-$W47)</x:f>
      </x:c>
      <x:c r="AA47" s="247" t="str">
        <x:f>IFERROR($Z47/$U47,"")</x:f>
      </x:c>
      <x:c r="AB47" s="235" t="str">
        <x:f>IF(OR($S47="",$U47=""),"",$S47-$U47)</x:f>
      </x:c>
      <x:c r="AC47" s="247" t="str">
        <x:f>IFERROR($AB47/$S47,"")</x:f>
      </x:c>
      <x:c r="AD47" s="247" t="str">
        <x:f>IF(OR($Y47="",$AA47=""),"",$AA47-$Y47)</x:f>
      </x:c>
      <x:c r="AE47" s="199" t="str">
        <x:f>IF($A47="","",IF(IF($H47="Percentage",$S47*$I47,$I47)&gt;=MAX(IF($J47="Percentage",$S47*$K47,$K47),IF($L47="Percentage",$T47*$M47,$M47),IF($N47="Percentage",$T47*$O47,$O47)),"Customer discount",IF(IF($J47="Percentage",$S47*$K47,$K47)&gt;=MAX(IF($L47="Percentage",$T47*$M47,$M47),IF($N47="Percentage",$T47*$O47,$O47)),"Promotional discount",IF(IF($L47="Percentage",$T47*$M47,$M47)&gt;=IF($N47="Percentage",$T47*$O47,$O47),"Freight/service concession","Customer rebate"))))</x:f>
      </x:c>
      <x:c r="AF47" s="204" t="str">
        <x:f>IF($AA47="","",IF($R47="","No threshold set",IF($AA47&gt;=$R47,"Within configured threshold","Commercial review required")))</x:f>
      </x:c>
      <x:c r="AG47" s="177"/>
    </x:row>
    <x:row r="48">
      <x:c r="A48" s="175"/>
      <x:c r="B48" s="217"/>
      <x:c r="C48" s="176"/>
      <x:c r="D48" s="176"/>
      <x:c r="E48" s="223"/>
      <x:c r="F48" s="253"/>
      <x:c r="G48" s="223"/>
      <x:c r="H48" s="176"/>
      <x:c r="I48" s="223"/>
      <x:c r="J48" s="176"/>
      <x:c r="K48" s="223"/>
      <x:c r="L48" s="176"/>
      <x:c r="M48" s="223"/>
      <x:c r="N48" s="176"/>
      <x:c r="O48" s="223"/>
      <x:c r="P48" s="176"/>
      <x:c r="Q48" s="223"/>
      <x:c r="R48" s="241"/>
      <x:c r="S48" s="229" t="str">
        <x:f>IF(OR($E48="",$F48=""),"",$E48*$F48)</x:f>
      </x:c>
      <x:c r="T48" s="235" t="str">
        <x:f>IF($S48="","",$S48-IF($H48="Percentage",$S48*$I48,$I48)-IF($J48="Percentage",$S48*$K48,$K48))</x:f>
      </x:c>
      <x:c r="U48" s="235" t="str">
        <x:f>IF($T48="","",$T48-IF($L48="Percentage",$T48*$M48,$M48)-IF($N48="Percentage",$T48*$O48,$O48))</x:f>
      </x:c>
      <x:c r="V48" s="235" t="str">
        <x:f>IF(OR($G48="",$F48=""),"",$G48*$F48)</x:f>
      </x:c>
      <x:c r="W48" s="235" t="str">
        <x:f>IF($V48="","",$V48-IF($P48="Percentage",$V48*$Q48,$Q48))</x:f>
      </x:c>
      <x:c r="X48" s="235" t="str">
        <x:f>IF(OR($T48="",$V48=""),"",$T48-$V48)</x:f>
      </x:c>
      <x:c r="Y48" s="247" t="str">
        <x:f>IFERROR($X48/$T48,"")</x:f>
      </x:c>
      <x:c r="Z48" s="235" t="str">
        <x:f>IF(OR($U48="",$W48=""),"",$U48-$W48)</x:f>
      </x:c>
      <x:c r="AA48" s="247" t="str">
        <x:f>IFERROR($Z48/$U48,"")</x:f>
      </x:c>
      <x:c r="AB48" s="235" t="str">
        <x:f>IF(OR($S48="",$U48=""),"",$S48-$U48)</x:f>
      </x:c>
      <x:c r="AC48" s="247" t="str">
        <x:f>IFERROR($AB48/$S48,"")</x:f>
      </x:c>
      <x:c r="AD48" s="247" t="str">
        <x:f>IF(OR($Y48="",$AA48=""),"",$AA48-$Y48)</x:f>
      </x:c>
      <x:c r="AE48" s="199" t="str">
        <x:f>IF($A48="","",IF(IF($H48="Percentage",$S48*$I48,$I48)&gt;=MAX(IF($J48="Percentage",$S48*$K48,$K48),IF($L48="Percentage",$T48*$M48,$M48),IF($N48="Percentage",$T48*$O48,$O48)),"Customer discount",IF(IF($J48="Percentage",$S48*$K48,$K48)&gt;=MAX(IF($L48="Percentage",$T48*$M48,$M48),IF($N48="Percentage",$T48*$O48,$O48)),"Promotional discount",IF(IF($L48="Percentage",$T48*$M48,$M48)&gt;=IF($N48="Percentage",$T48*$O48,$O48),"Freight/service concession","Customer rebate"))))</x:f>
      </x:c>
      <x:c r="AF48" s="204" t="str">
        <x:f>IF($AA48="","",IF($R48="","No threshold set",IF($AA48&gt;=$R48,"Within configured threshold","Commercial review required")))</x:f>
      </x:c>
      <x:c r="AG48" s="177"/>
    </x:row>
    <x:row r="49">
      <x:c r="A49" s="175"/>
      <x:c r="B49" s="217"/>
      <x:c r="C49" s="176"/>
      <x:c r="D49" s="176"/>
      <x:c r="E49" s="223"/>
      <x:c r="F49" s="253"/>
      <x:c r="G49" s="223"/>
      <x:c r="H49" s="176"/>
      <x:c r="I49" s="223"/>
      <x:c r="J49" s="176"/>
      <x:c r="K49" s="223"/>
      <x:c r="L49" s="176"/>
      <x:c r="M49" s="223"/>
      <x:c r="N49" s="176"/>
      <x:c r="O49" s="223"/>
      <x:c r="P49" s="176"/>
      <x:c r="Q49" s="223"/>
      <x:c r="R49" s="241"/>
      <x:c r="S49" s="229" t="str">
        <x:f>IF(OR($E49="",$F49=""),"",$E49*$F49)</x:f>
      </x:c>
      <x:c r="T49" s="235" t="str">
        <x:f>IF($S49="","",$S49-IF($H49="Percentage",$S49*$I49,$I49)-IF($J49="Percentage",$S49*$K49,$K49))</x:f>
      </x:c>
      <x:c r="U49" s="235" t="str">
        <x:f>IF($T49="","",$T49-IF($L49="Percentage",$T49*$M49,$M49)-IF($N49="Percentage",$T49*$O49,$O49))</x:f>
      </x:c>
      <x:c r="V49" s="235" t="str">
        <x:f>IF(OR($G49="",$F49=""),"",$G49*$F49)</x:f>
      </x:c>
      <x:c r="W49" s="235" t="str">
        <x:f>IF($V49="","",$V49-IF($P49="Percentage",$V49*$Q49,$Q49))</x:f>
      </x:c>
      <x:c r="X49" s="235" t="str">
        <x:f>IF(OR($T49="",$V49=""),"",$T49-$V49)</x:f>
      </x:c>
      <x:c r="Y49" s="247" t="str">
        <x:f>IFERROR($X49/$T49,"")</x:f>
      </x:c>
      <x:c r="Z49" s="235" t="str">
        <x:f>IF(OR($U49="",$W49=""),"",$U49-$W49)</x:f>
      </x:c>
      <x:c r="AA49" s="247" t="str">
        <x:f>IFERROR($Z49/$U49,"")</x:f>
      </x:c>
      <x:c r="AB49" s="235" t="str">
        <x:f>IF(OR($S49="",$U49=""),"",$S49-$U49)</x:f>
      </x:c>
      <x:c r="AC49" s="247" t="str">
        <x:f>IFERROR($AB49/$S49,"")</x:f>
      </x:c>
      <x:c r="AD49" s="247" t="str">
        <x:f>IF(OR($Y49="",$AA49=""),"",$AA49-$Y49)</x:f>
      </x:c>
      <x:c r="AE49" s="199" t="str">
        <x:f>IF($A49="","",IF(IF($H49="Percentage",$S49*$I49,$I49)&gt;=MAX(IF($J49="Percentage",$S49*$K49,$K49),IF($L49="Percentage",$T49*$M49,$M49),IF($N49="Percentage",$T49*$O49,$O49)),"Customer discount",IF(IF($J49="Percentage",$S49*$K49,$K49)&gt;=MAX(IF($L49="Percentage",$T49*$M49,$M49),IF($N49="Percentage",$T49*$O49,$O49)),"Promotional discount",IF(IF($L49="Percentage",$T49*$M49,$M49)&gt;=IF($N49="Percentage",$T49*$O49,$O49),"Freight/service concession","Customer rebate"))))</x:f>
      </x:c>
      <x:c r="AF49" s="204" t="str">
        <x:f>IF($AA49="","",IF($R49="","No threshold set",IF($AA49&gt;=$R49,"Within configured threshold","Commercial review required")))</x:f>
      </x:c>
      <x:c r="AG49" s="177"/>
    </x:row>
    <x:row r="50">
      <x:c r="A50" s="175"/>
      <x:c r="B50" s="217"/>
      <x:c r="C50" s="176"/>
      <x:c r="D50" s="176"/>
      <x:c r="E50" s="223"/>
      <x:c r="F50" s="253"/>
      <x:c r="G50" s="223"/>
      <x:c r="H50" s="176"/>
      <x:c r="I50" s="223"/>
      <x:c r="J50" s="176"/>
      <x:c r="K50" s="223"/>
      <x:c r="L50" s="176"/>
      <x:c r="M50" s="223"/>
      <x:c r="N50" s="176"/>
      <x:c r="O50" s="223"/>
      <x:c r="P50" s="176"/>
      <x:c r="Q50" s="223"/>
      <x:c r="R50" s="241"/>
      <x:c r="S50" s="229" t="str">
        <x:f>IF(OR($E50="",$F50=""),"",$E50*$F50)</x:f>
      </x:c>
      <x:c r="T50" s="235" t="str">
        <x:f>IF($S50="","",$S50-IF($H50="Percentage",$S50*$I50,$I50)-IF($J50="Percentage",$S50*$K50,$K50))</x:f>
      </x:c>
      <x:c r="U50" s="235" t="str">
        <x:f>IF($T50="","",$T50-IF($L50="Percentage",$T50*$M50,$M50)-IF($N50="Percentage",$T50*$O50,$O50))</x:f>
      </x:c>
      <x:c r="V50" s="235" t="str">
        <x:f>IF(OR($G50="",$F50=""),"",$G50*$F50)</x:f>
      </x:c>
      <x:c r="W50" s="235" t="str">
        <x:f>IF($V50="","",$V50-IF($P50="Percentage",$V50*$Q50,$Q50))</x:f>
      </x:c>
      <x:c r="X50" s="235" t="str">
        <x:f>IF(OR($T50="",$V50=""),"",$T50-$V50)</x:f>
      </x:c>
      <x:c r="Y50" s="247" t="str">
        <x:f>IFERROR($X50/$T50,"")</x:f>
      </x:c>
      <x:c r="Z50" s="235" t="str">
        <x:f>IF(OR($U50="",$W50=""),"",$U50-$W50)</x:f>
      </x:c>
      <x:c r="AA50" s="247" t="str">
        <x:f>IFERROR($Z50/$U50,"")</x:f>
      </x:c>
      <x:c r="AB50" s="235" t="str">
        <x:f>IF(OR($S50="",$U50=""),"",$S50-$U50)</x:f>
      </x:c>
      <x:c r="AC50" s="247" t="str">
        <x:f>IFERROR($AB50/$S50,"")</x:f>
      </x:c>
      <x:c r="AD50" s="247" t="str">
        <x:f>IF(OR($Y50="",$AA50=""),"",$AA50-$Y50)</x:f>
      </x:c>
      <x:c r="AE50" s="199" t="str">
        <x:f>IF($A50="","",IF(IF($H50="Percentage",$S50*$I50,$I50)&gt;=MAX(IF($J50="Percentage",$S50*$K50,$K50),IF($L50="Percentage",$T50*$M50,$M50),IF($N50="Percentage",$T50*$O50,$O50)),"Customer discount",IF(IF($J50="Percentage",$S50*$K50,$K50)&gt;=MAX(IF($L50="Percentage",$T50*$M50,$M50),IF($N50="Percentage",$T50*$O50,$O50)),"Promotional discount",IF(IF($L50="Percentage",$T50*$M50,$M50)&gt;=IF($N50="Percentage",$T50*$O50,$O50),"Freight/service concession","Customer rebate"))))</x:f>
      </x:c>
      <x:c r="AF50" s="204" t="str">
        <x:f>IF($AA50="","",IF($R50="","No threshold set",IF($AA50&gt;=$R50,"Within configured threshold","Commercial review required")))</x:f>
      </x:c>
      <x:c r="AG50" s="177"/>
    </x:row>
    <x:row r="51">
      <x:c r="A51" s="175"/>
      <x:c r="B51" s="217"/>
      <x:c r="C51" s="176"/>
      <x:c r="D51" s="176"/>
      <x:c r="E51" s="223"/>
      <x:c r="F51" s="253"/>
      <x:c r="G51" s="223"/>
      <x:c r="H51" s="176"/>
      <x:c r="I51" s="223"/>
      <x:c r="J51" s="176"/>
      <x:c r="K51" s="223"/>
      <x:c r="L51" s="176"/>
      <x:c r="M51" s="223"/>
      <x:c r="N51" s="176"/>
      <x:c r="O51" s="223"/>
      <x:c r="P51" s="176"/>
      <x:c r="Q51" s="223"/>
      <x:c r="R51" s="241"/>
      <x:c r="S51" s="229" t="str">
        <x:f>IF(OR($E51="",$F51=""),"",$E51*$F51)</x:f>
      </x:c>
      <x:c r="T51" s="235" t="str">
        <x:f>IF($S51="","",$S51-IF($H51="Percentage",$S51*$I51,$I51)-IF($J51="Percentage",$S51*$K51,$K51))</x:f>
      </x:c>
      <x:c r="U51" s="235" t="str">
        <x:f>IF($T51="","",$T51-IF($L51="Percentage",$T51*$M51,$M51)-IF($N51="Percentage",$T51*$O51,$O51))</x:f>
      </x:c>
      <x:c r="V51" s="235" t="str">
        <x:f>IF(OR($G51="",$F51=""),"",$G51*$F51)</x:f>
      </x:c>
      <x:c r="W51" s="235" t="str">
        <x:f>IF($V51="","",$V51-IF($P51="Percentage",$V51*$Q51,$Q51))</x:f>
      </x:c>
      <x:c r="X51" s="235" t="str">
        <x:f>IF(OR($T51="",$V51=""),"",$T51-$V51)</x:f>
      </x:c>
      <x:c r="Y51" s="247" t="str">
        <x:f>IFERROR($X51/$T51,"")</x:f>
      </x:c>
      <x:c r="Z51" s="235" t="str">
        <x:f>IF(OR($U51="",$W51=""),"",$U51-$W51)</x:f>
      </x:c>
      <x:c r="AA51" s="247" t="str">
        <x:f>IFERROR($Z51/$U51,"")</x:f>
      </x:c>
      <x:c r="AB51" s="235" t="str">
        <x:f>IF(OR($S51="",$U51=""),"",$S51-$U51)</x:f>
      </x:c>
      <x:c r="AC51" s="247" t="str">
        <x:f>IFERROR($AB51/$S51,"")</x:f>
      </x:c>
      <x:c r="AD51" s="247" t="str">
        <x:f>IF(OR($Y51="",$AA51=""),"",$AA51-$Y51)</x:f>
      </x:c>
      <x:c r="AE51" s="199" t="str">
        <x:f>IF($A51="","",IF(IF($H51="Percentage",$S51*$I51,$I51)&gt;=MAX(IF($J51="Percentage",$S51*$K51,$K51),IF($L51="Percentage",$T51*$M51,$M51),IF($N51="Percentage",$T51*$O51,$O51)),"Customer discount",IF(IF($J51="Percentage",$S51*$K51,$K51)&gt;=MAX(IF($L51="Percentage",$T51*$M51,$M51),IF($N51="Percentage",$T51*$O51,$O51)),"Promotional discount",IF(IF($L51="Percentage",$T51*$M51,$M51)&gt;=IF($N51="Percentage",$T51*$O51,$O51),"Freight/service concession","Customer rebate"))))</x:f>
      </x:c>
      <x:c r="AF51" s="204" t="str">
        <x:f>IF($AA51="","",IF($R51="","No threshold set",IF($AA51&gt;=$R51,"Within configured threshold","Commercial review required")))</x:f>
      </x:c>
      <x:c r="AG51" s="177"/>
    </x:row>
    <x:row r="52">
      <x:c r="A52" s="175"/>
      <x:c r="B52" s="217"/>
      <x:c r="C52" s="176"/>
      <x:c r="D52" s="176"/>
      <x:c r="E52" s="223"/>
      <x:c r="F52" s="253"/>
      <x:c r="G52" s="223"/>
      <x:c r="H52" s="176"/>
      <x:c r="I52" s="223"/>
      <x:c r="J52" s="176"/>
      <x:c r="K52" s="223"/>
      <x:c r="L52" s="176"/>
      <x:c r="M52" s="223"/>
      <x:c r="N52" s="176"/>
      <x:c r="O52" s="223"/>
      <x:c r="P52" s="176"/>
      <x:c r="Q52" s="223"/>
      <x:c r="R52" s="241"/>
      <x:c r="S52" s="229" t="str">
        <x:f>IF(OR($E52="",$F52=""),"",$E52*$F52)</x:f>
      </x:c>
      <x:c r="T52" s="235" t="str">
        <x:f>IF($S52="","",$S52-IF($H52="Percentage",$S52*$I52,$I52)-IF($J52="Percentage",$S52*$K52,$K52))</x:f>
      </x:c>
      <x:c r="U52" s="235" t="str">
        <x:f>IF($T52="","",$T52-IF($L52="Percentage",$T52*$M52,$M52)-IF($N52="Percentage",$T52*$O52,$O52))</x:f>
      </x:c>
      <x:c r="V52" s="235" t="str">
        <x:f>IF(OR($G52="",$F52=""),"",$G52*$F52)</x:f>
      </x:c>
      <x:c r="W52" s="235" t="str">
        <x:f>IF($V52="","",$V52-IF($P52="Percentage",$V52*$Q52,$Q52))</x:f>
      </x:c>
      <x:c r="X52" s="235" t="str">
        <x:f>IF(OR($T52="",$V52=""),"",$T52-$V52)</x:f>
      </x:c>
      <x:c r="Y52" s="247" t="str">
        <x:f>IFERROR($X52/$T52,"")</x:f>
      </x:c>
      <x:c r="Z52" s="235" t="str">
        <x:f>IF(OR($U52="",$W52=""),"",$U52-$W52)</x:f>
      </x:c>
      <x:c r="AA52" s="247" t="str">
        <x:f>IFERROR($Z52/$U52,"")</x:f>
      </x:c>
      <x:c r="AB52" s="235" t="str">
        <x:f>IF(OR($S52="",$U52=""),"",$S52-$U52)</x:f>
      </x:c>
      <x:c r="AC52" s="247" t="str">
        <x:f>IFERROR($AB52/$S52,"")</x:f>
      </x:c>
      <x:c r="AD52" s="247" t="str">
        <x:f>IF(OR($Y52="",$AA52=""),"",$AA52-$Y52)</x:f>
      </x:c>
      <x:c r="AE52" s="199" t="str">
        <x:f>IF($A52="","",IF(IF($H52="Percentage",$S52*$I52,$I52)&gt;=MAX(IF($J52="Percentage",$S52*$K52,$K52),IF($L52="Percentage",$T52*$M52,$M52),IF($N52="Percentage",$T52*$O52,$O52)),"Customer discount",IF(IF($J52="Percentage",$S52*$K52,$K52)&gt;=MAX(IF($L52="Percentage",$T52*$M52,$M52),IF($N52="Percentage",$T52*$O52,$O52)),"Promotional discount",IF(IF($L52="Percentage",$T52*$M52,$M52)&gt;=IF($N52="Percentage",$T52*$O52,$O52),"Freight/service concession","Customer rebate"))))</x:f>
      </x:c>
      <x:c r="AF52" s="204" t="str">
        <x:f>IF($AA52="","",IF($R52="","No threshold set",IF($AA52&gt;=$R52,"Within configured threshold","Commercial review required")))</x:f>
      </x:c>
      <x:c r="AG52" s="177"/>
    </x:row>
    <x:row r="53">
      <x:c r="A53" s="175"/>
      <x:c r="B53" s="217"/>
      <x:c r="C53" s="176"/>
      <x:c r="D53" s="176"/>
      <x:c r="E53" s="223"/>
      <x:c r="F53" s="253"/>
      <x:c r="G53" s="223"/>
      <x:c r="H53" s="176"/>
      <x:c r="I53" s="223"/>
      <x:c r="J53" s="176"/>
      <x:c r="K53" s="223"/>
      <x:c r="L53" s="176"/>
      <x:c r="M53" s="223"/>
      <x:c r="N53" s="176"/>
      <x:c r="O53" s="223"/>
      <x:c r="P53" s="176"/>
      <x:c r="Q53" s="223"/>
      <x:c r="R53" s="241"/>
      <x:c r="S53" s="229" t="str">
        <x:f>IF(OR($E53="",$F53=""),"",$E53*$F53)</x:f>
      </x:c>
      <x:c r="T53" s="235" t="str">
        <x:f>IF($S53="","",$S53-IF($H53="Percentage",$S53*$I53,$I53)-IF($J53="Percentage",$S53*$K53,$K53))</x:f>
      </x:c>
      <x:c r="U53" s="235" t="str">
        <x:f>IF($T53="","",$T53-IF($L53="Percentage",$T53*$M53,$M53)-IF($N53="Percentage",$T53*$O53,$O53))</x:f>
      </x:c>
      <x:c r="V53" s="235" t="str">
        <x:f>IF(OR($G53="",$F53=""),"",$G53*$F53)</x:f>
      </x:c>
      <x:c r="W53" s="235" t="str">
        <x:f>IF($V53="","",$V53-IF($P53="Percentage",$V53*$Q53,$Q53))</x:f>
      </x:c>
      <x:c r="X53" s="235" t="str">
        <x:f>IF(OR($T53="",$V53=""),"",$T53-$V53)</x:f>
      </x:c>
      <x:c r="Y53" s="247" t="str">
        <x:f>IFERROR($X53/$T53,"")</x:f>
      </x:c>
      <x:c r="Z53" s="235" t="str">
        <x:f>IF(OR($U53="",$W53=""),"",$U53-$W53)</x:f>
      </x:c>
      <x:c r="AA53" s="247" t="str">
        <x:f>IFERROR($Z53/$U53,"")</x:f>
      </x:c>
      <x:c r="AB53" s="235" t="str">
        <x:f>IF(OR($S53="",$U53=""),"",$S53-$U53)</x:f>
      </x:c>
      <x:c r="AC53" s="247" t="str">
        <x:f>IFERROR($AB53/$S53,"")</x:f>
      </x:c>
      <x:c r="AD53" s="247" t="str">
        <x:f>IF(OR($Y53="",$AA53=""),"",$AA53-$Y53)</x:f>
      </x:c>
      <x:c r="AE53" s="199" t="str">
        <x:f>IF($A53="","",IF(IF($H53="Percentage",$S53*$I53,$I53)&gt;=MAX(IF($J53="Percentage",$S53*$K53,$K53),IF($L53="Percentage",$T53*$M53,$M53),IF($N53="Percentage",$T53*$O53,$O53)),"Customer discount",IF(IF($J53="Percentage",$S53*$K53,$K53)&gt;=MAX(IF($L53="Percentage",$T53*$M53,$M53),IF($N53="Percentage",$T53*$O53,$O53)),"Promotional discount",IF(IF($L53="Percentage",$T53*$M53,$M53)&gt;=IF($N53="Percentage",$T53*$O53,$O53),"Freight/service concession","Customer rebate"))))</x:f>
      </x:c>
      <x:c r="AF53" s="204" t="str">
        <x:f>IF($AA53="","",IF($R53="","No threshold set",IF($AA53&gt;=$R53,"Within configured threshold","Commercial review required")))</x:f>
      </x:c>
      <x:c r="AG53" s="177"/>
    </x:row>
    <x:row r="54">
      <x:c r="A54" s="175"/>
      <x:c r="B54" s="217"/>
      <x:c r="C54" s="176"/>
      <x:c r="D54" s="176"/>
      <x:c r="E54" s="223"/>
      <x:c r="F54" s="253"/>
      <x:c r="G54" s="223"/>
      <x:c r="H54" s="176"/>
      <x:c r="I54" s="223"/>
      <x:c r="J54" s="176"/>
      <x:c r="K54" s="223"/>
      <x:c r="L54" s="176"/>
      <x:c r="M54" s="223"/>
      <x:c r="N54" s="176"/>
      <x:c r="O54" s="223"/>
      <x:c r="P54" s="176"/>
      <x:c r="Q54" s="223"/>
      <x:c r="R54" s="241"/>
      <x:c r="S54" s="229" t="str">
        <x:f>IF(OR($E54="",$F54=""),"",$E54*$F54)</x:f>
      </x:c>
      <x:c r="T54" s="235" t="str">
        <x:f>IF($S54="","",$S54-IF($H54="Percentage",$S54*$I54,$I54)-IF($J54="Percentage",$S54*$K54,$K54))</x:f>
      </x:c>
      <x:c r="U54" s="235" t="str">
        <x:f>IF($T54="","",$T54-IF($L54="Percentage",$T54*$M54,$M54)-IF($N54="Percentage",$T54*$O54,$O54))</x:f>
      </x:c>
      <x:c r="V54" s="235" t="str">
        <x:f>IF(OR($G54="",$F54=""),"",$G54*$F54)</x:f>
      </x:c>
      <x:c r="W54" s="235" t="str">
        <x:f>IF($V54="","",$V54-IF($P54="Percentage",$V54*$Q54,$Q54))</x:f>
      </x:c>
      <x:c r="X54" s="235" t="str">
        <x:f>IF(OR($T54="",$V54=""),"",$T54-$V54)</x:f>
      </x:c>
      <x:c r="Y54" s="247" t="str">
        <x:f>IFERROR($X54/$T54,"")</x:f>
      </x:c>
      <x:c r="Z54" s="235" t="str">
        <x:f>IF(OR($U54="",$W54=""),"",$U54-$W54)</x:f>
      </x:c>
      <x:c r="AA54" s="247" t="str">
        <x:f>IFERROR($Z54/$U54,"")</x:f>
      </x:c>
      <x:c r="AB54" s="235" t="str">
        <x:f>IF(OR($S54="",$U54=""),"",$S54-$U54)</x:f>
      </x:c>
      <x:c r="AC54" s="247" t="str">
        <x:f>IFERROR($AB54/$S54,"")</x:f>
      </x:c>
      <x:c r="AD54" s="247" t="str">
        <x:f>IF(OR($Y54="",$AA54=""),"",$AA54-$Y54)</x:f>
      </x:c>
      <x:c r="AE54" s="199" t="str">
        <x:f>IF($A54="","",IF(IF($H54="Percentage",$S54*$I54,$I54)&gt;=MAX(IF($J54="Percentage",$S54*$K54,$K54),IF($L54="Percentage",$T54*$M54,$M54),IF($N54="Percentage",$T54*$O54,$O54)),"Customer discount",IF(IF($J54="Percentage",$S54*$K54,$K54)&gt;=MAX(IF($L54="Percentage",$T54*$M54,$M54),IF($N54="Percentage",$T54*$O54,$O54)),"Promotional discount",IF(IF($L54="Percentage",$T54*$M54,$M54)&gt;=IF($N54="Percentage",$T54*$O54,$O54),"Freight/service concession","Customer rebate"))))</x:f>
      </x:c>
      <x:c r="AF54" s="204" t="str">
        <x:f>IF($AA54="","",IF($R54="","No threshold set",IF($AA54&gt;=$R54,"Within configured threshold","Commercial review required")))</x:f>
      </x:c>
      <x:c r="AG54" s="177"/>
    </x:row>
    <x:row r="55">
      <x:c r="A55" s="175"/>
      <x:c r="B55" s="217"/>
      <x:c r="C55" s="176"/>
      <x:c r="D55" s="176"/>
      <x:c r="E55" s="223"/>
      <x:c r="F55" s="253"/>
      <x:c r="G55" s="223"/>
      <x:c r="H55" s="176"/>
      <x:c r="I55" s="223"/>
      <x:c r="J55" s="176"/>
      <x:c r="K55" s="223"/>
      <x:c r="L55" s="176"/>
      <x:c r="M55" s="223"/>
      <x:c r="N55" s="176"/>
      <x:c r="O55" s="223"/>
      <x:c r="P55" s="176"/>
      <x:c r="Q55" s="223"/>
      <x:c r="R55" s="241"/>
      <x:c r="S55" s="229" t="str">
        <x:f>IF(OR($E55="",$F55=""),"",$E55*$F55)</x:f>
      </x:c>
      <x:c r="T55" s="235" t="str">
        <x:f>IF($S55="","",$S55-IF($H55="Percentage",$S55*$I55,$I55)-IF($J55="Percentage",$S55*$K55,$K55))</x:f>
      </x:c>
      <x:c r="U55" s="235" t="str">
        <x:f>IF($T55="","",$T55-IF($L55="Percentage",$T55*$M55,$M55)-IF($N55="Percentage",$T55*$O55,$O55))</x:f>
      </x:c>
      <x:c r="V55" s="235" t="str">
        <x:f>IF(OR($G55="",$F55=""),"",$G55*$F55)</x:f>
      </x:c>
      <x:c r="W55" s="235" t="str">
        <x:f>IF($V55="","",$V55-IF($P55="Percentage",$V55*$Q55,$Q55))</x:f>
      </x:c>
      <x:c r="X55" s="235" t="str">
        <x:f>IF(OR($T55="",$V55=""),"",$T55-$V55)</x:f>
      </x:c>
      <x:c r="Y55" s="247" t="str">
        <x:f>IFERROR($X55/$T55,"")</x:f>
      </x:c>
      <x:c r="Z55" s="235" t="str">
        <x:f>IF(OR($U55="",$W55=""),"",$U55-$W55)</x:f>
      </x:c>
      <x:c r="AA55" s="247" t="str">
        <x:f>IFERROR($Z55/$U55,"")</x:f>
      </x:c>
      <x:c r="AB55" s="235" t="str">
        <x:f>IF(OR($S55="",$U55=""),"",$S55-$U55)</x:f>
      </x:c>
      <x:c r="AC55" s="247" t="str">
        <x:f>IFERROR($AB55/$S55,"")</x:f>
      </x:c>
      <x:c r="AD55" s="247" t="str">
        <x:f>IF(OR($Y55="",$AA55=""),"",$AA55-$Y55)</x:f>
      </x:c>
      <x:c r="AE55" s="199" t="str">
        <x:f>IF($A55="","",IF(IF($H55="Percentage",$S55*$I55,$I55)&gt;=MAX(IF($J55="Percentage",$S55*$K55,$K55),IF($L55="Percentage",$T55*$M55,$M55),IF($N55="Percentage",$T55*$O55,$O55)),"Customer discount",IF(IF($J55="Percentage",$S55*$K55,$K55)&gt;=MAX(IF($L55="Percentage",$T55*$M55,$M55),IF($N55="Percentage",$T55*$O55,$O55)),"Promotional discount",IF(IF($L55="Percentage",$T55*$M55,$M55)&gt;=IF($N55="Percentage",$T55*$O55,$O55),"Freight/service concession","Customer rebate"))))</x:f>
      </x:c>
      <x:c r="AF55" s="204" t="str">
        <x:f>IF($AA55="","",IF($R55="","No threshold set",IF($AA55&gt;=$R55,"Within configured threshold","Commercial review required")))</x:f>
      </x:c>
      <x:c r="AG55" s="177"/>
    </x:row>
    <x:row r="56">
      <x:c r="A56" s="175"/>
      <x:c r="B56" s="217"/>
      <x:c r="C56" s="176"/>
      <x:c r="D56" s="176"/>
      <x:c r="E56" s="223"/>
      <x:c r="F56" s="253"/>
      <x:c r="G56" s="223"/>
      <x:c r="H56" s="176"/>
      <x:c r="I56" s="223"/>
      <x:c r="J56" s="176"/>
      <x:c r="K56" s="223"/>
      <x:c r="L56" s="176"/>
      <x:c r="M56" s="223"/>
      <x:c r="N56" s="176"/>
      <x:c r="O56" s="223"/>
      <x:c r="P56" s="176"/>
      <x:c r="Q56" s="223"/>
      <x:c r="R56" s="241"/>
      <x:c r="S56" s="229" t="str">
        <x:f>IF(OR($E56="",$F56=""),"",$E56*$F56)</x:f>
      </x:c>
      <x:c r="T56" s="235" t="str">
        <x:f>IF($S56="","",$S56-IF($H56="Percentage",$S56*$I56,$I56)-IF($J56="Percentage",$S56*$K56,$K56))</x:f>
      </x:c>
      <x:c r="U56" s="235" t="str">
        <x:f>IF($T56="","",$T56-IF($L56="Percentage",$T56*$M56,$M56)-IF($N56="Percentage",$T56*$O56,$O56))</x:f>
      </x:c>
      <x:c r="V56" s="235" t="str">
        <x:f>IF(OR($G56="",$F56=""),"",$G56*$F56)</x:f>
      </x:c>
      <x:c r="W56" s="235" t="str">
        <x:f>IF($V56="","",$V56-IF($P56="Percentage",$V56*$Q56,$Q56))</x:f>
      </x:c>
      <x:c r="X56" s="235" t="str">
        <x:f>IF(OR($T56="",$V56=""),"",$T56-$V56)</x:f>
      </x:c>
      <x:c r="Y56" s="247" t="str">
        <x:f>IFERROR($X56/$T56,"")</x:f>
      </x:c>
      <x:c r="Z56" s="235" t="str">
        <x:f>IF(OR($U56="",$W56=""),"",$U56-$W56)</x:f>
      </x:c>
      <x:c r="AA56" s="247" t="str">
        <x:f>IFERROR($Z56/$U56,"")</x:f>
      </x:c>
      <x:c r="AB56" s="235" t="str">
        <x:f>IF(OR($S56="",$U56=""),"",$S56-$U56)</x:f>
      </x:c>
      <x:c r="AC56" s="247" t="str">
        <x:f>IFERROR($AB56/$S56,"")</x:f>
      </x:c>
      <x:c r="AD56" s="247" t="str">
        <x:f>IF(OR($Y56="",$AA56=""),"",$AA56-$Y56)</x:f>
      </x:c>
      <x:c r="AE56" s="199" t="str">
        <x:f>IF($A56="","",IF(IF($H56="Percentage",$S56*$I56,$I56)&gt;=MAX(IF($J56="Percentage",$S56*$K56,$K56),IF($L56="Percentage",$T56*$M56,$M56),IF($N56="Percentage",$T56*$O56,$O56)),"Customer discount",IF(IF($J56="Percentage",$S56*$K56,$K56)&gt;=MAX(IF($L56="Percentage",$T56*$M56,$M56),IF($N56="Percentage",$T56*$O56,$O56)),"Promotional discount",IF(IF($L56="Percentage",$T56*$M56,$M56)&gt;=IF($N56="Percentage",$T56*$O56,$O56),"Freight/service concession","Customer rebate"))))</x:f>
      </x:c>
      <x:c r="AF56" s="204" t="str">
        <x:f>IF($AA56="","",IF($R56="","No threshold set",IF($AA56&gt;=$R56,"Within configured threshold","Commercial review required")))</x:f>
      </x:c>
      <x:c r="AG56" s="177"/>
    </x:row>
    <x:row r="57">
      <x:c r="A57" s="175"/>
      <x:c r="B57" s="217"/>
      <x:c r="C57" s="176"/>
      <x:c r="D57" s="176"/>
      <x:c r="E57" s="223"/>
      <x:c r="F57" s="253"/>
      <x:c r="G57" s="223"/>
      <x:c r="H57" s="176"/>
      <x:c r="I57" s="223"/>
      <x:c r="J57" s="176"/>
      <x:c r="K57" s="223"/>
      <x:c r="L57" s="176"/>
      <x:c r="M57" s="223"/>
      <x:c r="N57" s="176"/>
      <x:c r="O57" s="223"/>
      <x:c r="P57" s="176"/>
      <x:c r="Q57" s="223"/>
      <x:c r="R57" s="241"/>
      <x:c r="S57" s="229" t="str">
        <x:f>IF(OR($E57="",$F57=""),"",$E57*$F57)</x:f>
      </x:c>
      <x:c r="T57" s="235" t="str">
        <x:f>IF($S57="","",$S57-IF($H57="Percentage",$S57*$I57,$I57)-IF($J57="Percentage",$S57*$K57,$K57))</x:f>
      </x:c>
      <x:c r="U57" s="235" t="str">
        <x:f>IF($T57="","",$T57-IF($L57="Percentage",$T57*$M57,$M57)-IF($N57="Percentage",$T57*$O57,$O57))</x:f>
      </x:c>
      <x:c r="V57" s="235" t="str">
        <x:f>IF(OR($G57="",$F57=""),"",$G57*$F57)</x:f>
      </x:c>
      <x:c r="W57" s="235" t="str">
        <x:f>IF($V57="","",$V57-IF($P57="Percentage",$V57*$Q57,$Q57))</x:f>
      </x:c>
      <x:c r="X57" s="235" t="str">
        <x:f>IF(OR($T57="",$V57=""),"",$T57-$V57)</x:f>
      </x:c>
      <x:c r="Y57" s="247" t="str">
        <x:f>IFERROR($X57/$T57,"")</x:f>
      </x:c>
      <x:c r="Z57" s="235" t="str">
        <x:f>IF(OR($U57="",$W57=""),"",$U57-$W57)</x:f>
      </x:c>
      <x:c r="AA57" s="247" t="str">
        <x:f>IFERROR($Z57/$U57,"")</x:f>
      </x:c>
      <x:c r="AB57" s="235" t="str">
        <x:f>IF(OR($S57="",$U57=""),"",$S57-$U57)</x:f>
      </x:c>
      <x:c r="AC57" s="247" t="str">
        <x:f>IFERROR($AB57/$S57,"")</x:f>
      </x:c>
      <x:c r="AD57" s="247" t="str">
        <x:f>IF(OR($Y57="",$AA57=""),"",$AA57-$Y57)</x:f>
      </x:c>
      <x:c r="AE57" s="199" t="str">
        <x:f>IF($A57="","",IF(IF($H57="Percentage",$S57*$I57,$I57)&gt;=MAX(IF($J57="Percentage",$S57*$K57,$K57),IF($L57="Percentage",$T57*$M57,$M57),IF($N57="Percentage",$T57*$O57,$O57)),"Customer discount",IF(IF($J57="Percentage",$S57*$K57,$K57)&gt;=MAX(IF($L57="Percentage",$T57*$M57,$M57),IF($N57="Percentage",$T57*$O57,$O57)),"Promotional discount",IF(IF($L57="Percentage",$T57*$M57,$M57)&gt;=IF($N57="Percentage",$T57*$O57,$O57),"Freight/service concession","Customer rebate"))))</x:f>
      </x:c>
      <x:c r="AF57" s="204" t="str">
        <x:f>IF($AA57="","",IF($R57="","No threshold set",IF($AA57&gt;=$R57,"Within configured threshold","Commercial review required")))</x:f>
      </x:c>
      <x:c r="AG57" s="177"/>
    </x:row>
    <x:row r="58">
      <x:c r="A58" s="175"/>
      <x:c r="B58" s="217"/>
      <x:c r="C58" s="176"/>
      <x:c r="D58" s="176"/>
      <x:c r="E58" s="223"/>
      <x:c r="F58" s="253"/>
      <x:c r="G58" s="223"/>
      <x:c r="H58" s="176"/>
      <x:c r="I58" s="223"/>
      <x:c r="J58" s="176"/>
      <x:c r="K58" s="223"/>
      <x:c r="L58" s="176"/>
      <x:c r="M58" s="223"/>
      <x:c r="N58" s="176"/>
      <x:c r="O58" s="223"/>
      <x:c r="P58" s="176"/>
      <x:c r="Q58" s="223"/>
      <x:c r="R58" s="241"/>
      <x:c r="S58" s="229" t="str">
        <x:f>IF(OR($E58="",$F58=""),"",$E58*$F58)</x:f>
      </x:c>
      <x:c r="T58" s="235" t="str">
        <x:f>IF($S58="","",$S58-IF($H58="Percentage",$S58*$I58,$I58)-IF($J58="Percentage",$S58*$K58,$K58))</x:f>
      </x:c>
      <x:c r="U58" s="235" t="str">
        <x:f>IF($T58="","",$T58-IF($L58="Percentage",$T58*$M58,$M58)-IF($N58="Percentage",$T58*$O58,$O58))</x:f>
      </x:c>
      <x:c r="V58" s="235" t="str">
        <x:f>IF(OR($G58="",$F58=""),"",$G58*$F58)</x:f>
      </x:c>
      <x:c r="W58" s="235" t="str">
        <x:f>IF($V58="","",$V58-IF($P58="Percentage",$V58*$Q58,$Q58))</x:f>
      </x:c>
      <x:c r="X58" s="235" t="str">
        <x:f>IF(OR($T58="",$V58=""),"",$T58-$V58)</x:f>
      </x:c>
      <x:c r="Y58" s="247" t="str">
        <x:f>IFERROR($X58/$T58,"")</x:f>
      </x:c>
      <x:c r="Z58" s="235" t="str">
        <x:f>IF(OR($U58="",$W58=""),"",$U58-$W58)</x:f>
      </x:c>
      <x:c r="AA58" s="247" t="str">
        <x:f>IFERROR($Z58/$U58,"")</x:f>
      </x:c>
      <x:c r="AB58" s="235" t="str">
        <x:f>IF(OR($S58="",$U58=""),"",$S58-$U58)</x:f>
      </x:c>
      <x:c r="AC58" s="247" t="str">
        <x:f>IFERROR($AB58/$S58,"")</x:f>
      </x:c>
      <x:c r="AD58" s="247" t="str">
        <x:f>IF(OR($Y58="",$AA58=""),"",$AA58-$Y58)</x:f>
      </x:c>
      <x:c r="AE58" s="199" t="str">
        <x:f>IF($A58="","",IF(IF($H58="Percentage",$S58*$I58,$I58)&gt;=MAX(IF($J58="Percentage",$S58*$K58,$K58),IF($L58="Percentage",$T58*$M58,$M58),IF($N58="Percentage",$T58*$O58,$O58)),"Customer discount",IF(IF($J58="Percentage",$S58*$K58,$K58)&gt;=MAX(IF($L58="Percentage",$T58*$M58,$M58),IF($N58="Percentage",$T58*$O58,$O58)),"Promotional discount",IF(IF($L58="Percentage",$T58*$M58,$M58)&gt;=IF($N58="Percentage",$T58*$O58,$O58),"Freight/service concession","Customer rebate"))))</x:f>
      </x:c>
      <x:c r="AF58" s="204" t="str">
        <x:f>IF($AA58="","",IF($R58="","No threshold set",IF($AA58&gt;=$R58,"Within configured threshold","Commercial review required")))</x:f>
      </x:c>
      <x:c r="AG58" s="177"/>
    </x:row>
    <x:row r="59">
      <x:c r="A59" s="175"/>
      <x:c r="B59" s="217"/>
      <x:c r="C59" s="176"/>
      <x:c r="D59" s="176"/>
      <x:c r="E59" s="223"/>
      <x:c r="F59" s="253"/>
      <x:c r="G59" s="223"/>
      <x:c r="H59" s="176"/>
      <x:c r="I59" s="223"/>
      <x:c r="J59" s="176"/>
      <x:c r="K59" s="223"/>
      <x:c r="L59" s="176"/>
      <x:c r="M59" s="223"/>
      <x:c r="N59" s="176"/>
      <x:c r="O59" s="223"/>
      <x:c r="P59" s="176"/>
      <x:c r="Q59" s="223"/>
      <x:c r="R59" s="241"/>
      <x:c r="S59" s="229" t="str">
        <x:f>IF(OR($E59="",$F59=""),"",$E59*$F59)</x:f>
      </x:c>
      <x:c r="T59" s="235" t="str">
        <x:f>IF($S59="","",$S59-IF($H59="Percentage",$S59*$I59,$I59)-IF($J59="Percentage",$S59*$K59,$K59))</x:f>
      </x:c>
      <x:c r="U59" s="235" t="str">
        <x:f>IF($T59="","",$T59-IF($L59="Percentage",$T59*$M59,$M59)-IF($N59="Percentage",$T59*$O59,$O59))</x:f>
      </x:c>
      <x:c r="V59" s="235" t="str">
        <x:f>IF(OR($G59="",$F59=""),"",$G59*$F59)</x:f>
      </x:c>
      <x:c r="W59" s="235" t="str">
        <x:f>IF($V59="","",$V59-IF($P59="Percentage",$V59*$Q59,$Q59))</x:f>
      </x:c>
      <x:c r="X59" s="235" t="str">
        <x:f>IF(OR($T59="",$V59=""),"",$T59-$V59)</x:f>
      </x:c>
      <x:c r="Y59" s="247" t="str">
        <x:f>IFERROR($X59/$T59,"")</x:f>
      </x:c>
      <x:c r="Z59" s="235" t="str">
        <x:f>IF(OR($U59="",$W59=""),"",$U59-$W59)</x:f>
      </x:c>
      <x:c r="AA59" s="247" t="str">
        <x:f>IFERROR($Z59/$U59,"")</x:f>
      </x:c>
      <x:c r="AB59" s="235" t="str">
        <x:f>IF(OR($S59="",$U59=""),"",$S59-$U59)</x:f>
      </x:c>
      <x:c r="AC59" s="247" t="str">
        <x:f>IFERROR($AB59/$S59,"")</x:f>
      </x:c>
      <x:c r="AD59" s="247" t="str">
        <x:f>IF(OR($Y59="",$AA59=""),"",$AA59-$Y59)</x:f>
      </x:c>
      <x:c r="AE59" s="199" t="str">
        <x:f>IF($A59="","",IF(IF($H59="Percentage",$S59*$I59,$I59)&gt;=MAX(IF($J59="Percentage",$S59*$K59,$K59),IF($L59="Percentage",$T59*$M59,$M59),IF($N59="Percentage",$T59*$O59,$O59)),"Customer discount",IF(IF($J59="Percentage",$S59*$K59,$K59)&gt;=MAX(IF($L59="Percentage",$T59*$M59,$M59),IF($N59="Percentage",$T59*$O59,$O59)),"Promotional discount",IF(IF($L59="Percentage",$T59*$M59,$M59)&gt;=IF($N59="Percentage",$T59*$O59,$O59),"Freight/service concession","Customer rebate"))))</x:f>
      </x:c>
      <x:c r="AF59" s="204" t="str">
        <x:f>IF($AA59="","",IF($R59="","No threshold set",IF($AA59&gt;=$R59,"Within configured threshold","Commercial review required")))</x:f>
      </x:c>
      <x:c r="AG59" s="177"/>
    </x:row>
    <x:row r="60">
      <x:c r="A60" s="175"/>
      <x:c r="B60" s="217"/>
      <x:c r="C60" s="176"/>
      <x:c r="D60" s="176"/>
      <x:c r="E60" s="223"/>
      <x:c r="F60" s="253"/>
      <x:c r="G60" s="223"/>
      <x:c r="H60" s="176"/>
      <x:c r="I60" s="223"/>
      <x:c r="J60" s="176"/>
      <x:c r="K60" s="223"/>
      <x:c r="L60" s="176"/>
      <x:c r="M60" s="223"/>
      <x:c r="N60" s="176"/>
      <x:c r="O60" s="223"/>
      <x:c r="P60" s="176"/>
      <x:c r="Q60" s="223"/>
      <x:c r="R60" s="241"/>
      <x:c r="S60" s="229" t="str">
        <x:f>IF(OR($E60="",$F60=""),"",$E60*$F60)</x:f>
      </x:c>
      <x:c r="T60" s="235" t="str">
        <x:f>IF($S60="","",$S60-IF($H60="Percentage",$S60*$I60,$I60)-IF($J60="Percentage",$S60*$K60,$K60))</x:f>
      </x:c>
      <x:c r="U60" s="235" t="str">
        <x:f>IF($T60="","",$T60-IF($L60="Percentage",$T60*$M60,$M60)-IF($N60="Percentage",$T60*$O60,$O60))</x:f>
      </x:c>
      <x:c r="V60" s="235" t="str">
        <x:f>IF(OR($G60="",$F60=""),"",$G60*$F60)</x:f>
      </x:c>
      <x:c r="W60" s="235" t="str">
        <x:f>IF($V60="","",$V60-IF($P60="Percentage",$V60*$Q60,$Q60))</x:f>
      </x:c>
      <x:c r="X60" s="235" t="str">
        <x:f>IF(OR($T60="",$V60=""),"",$T60-$V60)</x:f>
      </x:c>
      <x:c r="Y60" s="247" t="str">
        <x:f>IFERROR($X60/$T60,"")</x:f>
      </x:c>
      <x:c r="Z60" s="235" t="str">
        <x:f>IF(OR($U60="",$W60=""),"",$U60-$W60)</x:f>
      </x:c>
      <x:c r="AA60" s="247" t="str">
        <x:f>IFERROR($Z60/$U60,"")</x:f>
      </x:c>
      <x:c r="AB60" s="235" t="str">
        <x:f>IF(OR($S60="",$U60=""),"",$S60-$U60)</x:f>
      </x:c>
      <x:c r="AC60" s="247" t="str">
        <x:f>IFERROR($AB60/$S60,"")</x:f>
      </x:c>
      <x:c r="AD60" s="247" t="str">
        <x:f>IF(OR($Y60="",$AA60=""),"",$AA60-$Y60)</x:f>
      </x:c>
      <x:c r="AE60" s="199" t="str">
        <x:f>IF($A60="","",IF(IF($H60="Percentage",$S60*$I60,$I60)&gt;=MAX(IF($J60="Percentage",$S60*$K60,$K60),IF($L60="Percentage",$T60*$M60,$M60),IF($N60="Percentage",$T60*$O60,$O60)),"Customer discount",IF(IF($J60="Percentage",$S60*$K60,$K60)&gt;=MAX(IF($L60="Percentage",$T60*$M60,$M60),IF($N60="Percentage",$T60*$O60,$O60)),"Promotional discount",IF(IF($L60="Percentage",$T60*$M60,$M60)&gt;=IF($N60="Percentage",$T60*$O60,$O60),"Freight/service concession","Customer rebate"))))</x:f>
      </x:c>
      <x:c r="AF60" s="204" t="str">
        <x:f>IF($AA60="","",IF($R60="","No threshold set",IF($AA60&gt;=$R60,"Within configured threshold","Commercial review required")))</x:f>
      </x:c>
      <x:c r="AG60" s="177"/>
    </x:row>
    <x:row r="61">
      <x:c r="A61" s="175"/>
      <x:c r="B61" s="217"/>
      <x:c r="C61" s="176"/>
      <x:c r="D61" s="176"/>
      <x:c r="E61" s="223"/>
      <x:c r="F61" s="253"/>
      <x:c r="G61" s="223"/>
      <x:c r="H61" s="176"/>
      <x:c r="I61" s="223"/>
      <x:c r="J61" s="176"/>
      <x:c r="K61" s="223"/>
      <x:c r="L61" s="176"/>
      <x:c r="M61" s="223"/>
      <x:c r="N61" s="176"/>
      <x:c r="O61" s="223"/>
      <x:c r="P61" s="176"/>
      <x:c r="Q61" s="223"/>
      <x:c r="R61" s="241"/>
      <x:c r="S61" s="229" t="str">
        <x:f>IF(OR($E61="",$F61=""),"",$E61*$F61)</x:f>
      </x:c>
      <x:c r="T61" s="235" t="str">
        <x:f>IF($S61="","",$S61-IF($H61="Percentage",$S61*$I61,$I61)-IF($J61="Percentage",$S61*$K61,$K61))</x:f>
      </x:c>
      <x:c r="U61" s="235" t="str">
        <x:f>IF($T61="","",$T61-IF($L61="Percentage",$T61*$M61,$M61)-IF($N61="Percentage",$T61*$O61,$O61))</x:f>
      </x:c>
      <x:c r="V61" s="235" t="str">
        <x:f>IF(OR($G61="",$F61=""),"",$G61*$F61)</x:f>
      </x:c>
      <x:c r="W61" s="235" t="str">
        <x:f>IF($V61="","",$V61-IF($P61="Percentage",$V61*$Q61,$Q61))</x:f>
      </x:c>
      <x:c r="X61" s="235" t="str">
        <x:f>IF(OR($T61="",$V61=""),"",$T61-$V61)</x:f>
      </x:c>
      <x:c r="Y61" s="247" t="str">
        <x:f>IFERROR($X61/$T61,"")</x:f>
      </x:c>
      <x:c r="Z61" s="235" t="str">
        <x:f>IF(OR($U61="",$W61=""),"",$U61-$W61)</x:f>
      </x:c>
      <x:c r="AA61" s="247" t="str">
        <x:f>IFERROR($Z61/$U61,"")</x:f>
      </x:c>
      <x:c r="AB61" s="235" t="str">
        <x:f>IF(OR($S61="",$U61=""),"",$S61-$U61)</x:f>
      </x:c>
      <x:c r="AC61" s="247" t="str">
        <x:f>IFERROR($AB61/$S61,"")</x:f>
      </x:c>
      <x:c r="AD61" s="247" t="str">
        <x:f>IF(OR($Y61="",$AA61=""),"",$AA61-$Y61)</x:f>
      </x:c>
      <x:c r="AE61" s="199" t="str">
        <x:f>IF($A61="","",IF(IF($H61="Percentage",$S61*$I61,$I61)&gt;=MAX(IF($J61="Percentage",$S61*$K61,$K61),IF($L61="Percentage",$T61*$M61,$M61),IF($N61="Percentage",$T61*$O61,$O61)),"Customer discount",IF(IF($J61="Percentage",$S61*$K61,$K61)&gt;=MAX(IF($L61="Percentage",$T61*$M61,$M61),IF($N61="Percentage",$T61*$O61,$O61)),"Promotional discount",IF(IF($L61="Percentage",$T61*$M61,$M61)&gt;=IF($N61="Percentage",$T61*$O61,$O61),"Freight/service concession","Customer rebate"))))</x:f>
      </x:c>
      <x:c r="AF61" s="204" t="str">
        <x:f>IF($AA61="","",IF($R61="","No threshold set",IF($AA61&gt;=$R61,"Within configured threshold","Commercial review required")))</x:f>
      </x:c>
      <x:c r="AG61" s="177"/>
    </x:row>
    <x:row r="62">
      <x:c r="A62" s="175"/>
      <x:c r="B62" s="217"/>
      <x:c r="C62" s="176"/>
      <x:c r="D62" s="176"/>
      <x:c r="E62" s="223"/>
      <x:c r="F62" s="253"/>
      <x:c r="G62" s="223"/>
      <x:c r="H62" s="176"/>
      <x:c r="I62" s="223"/>
      <x:c r="J62" s="176"/>
      <x:c r="K62" s="223"/>
      <x:c r="L62" s="176"/>
      <x:c r="M62" s="223"/>
      <x:c r="N62" s="176"/>
      <x:c r="O62" s="223"/>
      <x:c r="P62" s="176"/>
      <x:c r="Q62" s="223"/>
      <x:c r="R62" s="241"/>
      <x:c r="S62" s="229" t="str">
        <x:f>IF(OR($E62="",$F62=""),"",$E62*$F62)</x:f>
      </x:c>
      <x:c r="T62" s="235" t="str">
        <x:f>IF($S62="","",$S62-IF($H62="Percentage",$S62*$I62,$I62)-IF($J62="Percentage",$S62*$K62,$K62))</x:f>
      </x:c>
      <x:c r="U62" s="235" t="str">
        <x:f>IF($T62="","",$T62-IF($L62="Percentage",$T62*$M62,$M62)-IF($N62="Percentage",$T62*$O62,$O62))</x:f>
      </x:c>
      <x:c r="V62" s="235" t="str">
        <x:f>IF(OR($G62="",$F62=""),"",$G62*$F62)</x:f>
      </x:c>
      <x:c r="W62" s="235" t="str">
        <x:f>IF($V62="","",$V62-IF($P62="Percentage",$V62*$Q62,$Q62))</x:f>
      </x:c>
      <x:c r="X62" s="235" t="str">
        <x:f>IF(OR($T62="",$V62=""),"",$T62-$V62)</x:f>
      </x:c>
      <x:c r="Y62" s="247" t="str">
        <x:f>IFERROR($X62/$T62,"")</x:f>
      </x:c>
      <x:c r="Z62" s="235" t="str">
        <x:f>IF(OR($U62="",$W62=""),"",$U62-$W62)</x:f>
      </x:c>
      <x:c r="AA62" s="247" t="str">
        <x:f>IFERROR($Z62/$U62,"")</x:f>
      </x:c>
      <x:c r="AB62" s="235" t="str">
        <x:f>IF(OR($S62="",$U62=""),"",$S62-$U62)</x:f>
      </x:c>
      <x:c r="AC62" s="247" t="str">
        <x:f>IFERROR($AB62/$S62,"")</x:f>
      </x:c>
      <x:c r="AD62" s="247" t="str">
        <x:f>IF(OR($Y62="",$AA62=""),"",$AA62-$Y62)</x:f>
      </x:c>
      <x:c r="AE62" s="199" t="str">
        <x:f>IF($A62="","",IF(IF($H62="Percentage",$S62*$I62,$I62)&gt;=MAX(IF($J62="Percentage",$S62*$K62,$K62),IF($L62="Percentage",$T62*$M62,$M62),IF($N62="Percentage",$T62*$O62,$O62)),"Customer discount",IF(IF($J62="Percentage",$S62*$K62,$K62)&gt;=MAX(IF($L62="Percentage",$T62*$M62,$M62),IF($N62="Percentage",$T62*$O62,$O62)),"Promotional discount",IF(IF($L62="Percentage",$T62*$M62,$M62)&gt;=IF($N62="Percentage",$T62*$O62,$O62),"Freight/service concession","Customer rebate"))))</x:f>
      </x:c>
      <x:c r="AF62" s="204" t="str">
        <x:f>IF($AA62="","",IF($R62="","No threshold set",IF($AA62&gt;=$R62,"Within configured threshold","Commercial review required")))</x:f>
      </x:c>
      <x:c r="AG62" s="177"/>
    </x:row>
    <x:row r="63">
      <x:c r="A63" s="175"/>
      <x:c r="B63" s="217"/>
      <x:c r="C63" s="176"/>
      <x:c r="D63" s="176"/>
      <x:c r="E63" s="223"/>
      <x:c r="F63" s="253"/>
      <x:c r="G63" s="223"/>
      <x:c r="H63" s="176"/>
      <x:c r="I63" s="223"/>
      <x:c r="J63" s="176"/>
      <x:c r="K63" s="223"/>
      <x:c r="L63" s="176"/>
      <x:c r="M63" s="223"/>
      <x:c r="N63" s="176"/>
      <x:c r="O63" s="223"/>
      <x:c r="P63" s="176"/>
      <x:c r="Q63" s="223"/>
      <x:c r="R63" s="241"/>
      <x:c r="S63" s="229" t="str">
        <x:f>IF(OR($E63="",$F63=""),"",$E63*$F63)</x:f>
      </x:c>
      <x:c r="T63" s="235" t="str">
        <x:f>IF($S63="","",$S63-IF($H63="Percentage",$S63*$I63,$I63)-IF($J63="Percentage",$S63*$K63,$K63))</x:f>
      </x:c>
      <x:c r="U63" s="235" t="str">
        <x:f>IF($T63="","",$T63-IF($L63="Percentage",$T63*$M63,$M63)-IF($N63="Percentage",$T63*$O63,$O63))</x:f>
      </x:c>
      <x:c r="V63" s="235" t="str">
        <x:f>IF(OR($G63="",$F63=""),"",$G63*$F63)</x:f>
      </x:c>
      <x:c r="W63" s="235" t="str">
        <x:f>IF($V63="","",$V63-IF($P63="Percentage",$V63*$Q63,$Q63))</x:f>
      </x:c>
      <x:c r="X63" s="235" t="str">
        <x:f>IF(OR($T63="",$V63=""),"",$T63-$V63)</x:f>
      </x:c>
      <x:c r="Y63" s="247" t="str">
        <x:f>IFERROR($X63/$T63,"")</x:f>
      </x:c>
      <x:c r="Z63" s="235" t="str">
        <x:f>IF(OR($U63="",$W63=""),"",$U63-$W63)</x:f>
      </x:c>
      <x:c r="AA63" s="247" t="str">
        <x:f>IFERROR($Z63/$U63,"")</x:f>
      </x:c>
      <x:c r="AB63" s="235" t="str">
        <x:f>IF(OR($S63="",$U63=""),"",$S63-$U63)</x:f>
      </x:c>
      <x:c r="AC63" s="247" t="str">
        <x:f>IFERROR($AB63/$S63,"")</x:f>
      </x:c>
      <x:c r="AD63" s="247" t="str">
        <x:f>IF(OR($Y63="",$AA63=""),"",$AA63-$Y63)</x:f>
      </x:c>
      <x:c r="AE63" s="199" t="str">
        <x:f>IF($A63="","",IF(IF($H63="Percentage",$S63*$I63,$I63)&gt;=MAX(IF($J63="Percentage",$S63*$K63,$K63),IF($L63="Percentage",$T63*$M63,$M63),IF($N63="Percentage",$T63*$O63,$O63)),"Customer discount",IF(IF($J63="Percentage",$S63*$K63,$K63)&gt;=MAX(IF($L63="Percentage",$T63*$M63,$M63),IF($N63="Percentage",$T63*$O63,$O63)),"Promotional discount",IF(IF($L63="Percentage",$T63*$M63,$M63)&gt;=IF($N63="Percentage",$T63*$O63,$O63),"Freight/service concession","Customer rebate"))))</x:f>
      </x:c>
      <x:c r="AF63" s="204" t="str">
        <x:f>IF($AA63="","",IF($R63="","No threshold set",IF($AA63&gt;=$R63,"Within configured threshold","Commercial review required")))</x:f>
      </x:c>
      <x:c r="AG63" s="177"/>
    </x:row>
    <x:row r="64">
      <x:c r="A64" s="175"/>
      <x:c r="B64" s="217"/>
      <x:c r="C64" s="176"/>
      <x:c r="D64" s="176"/>
      <x:c r="E64" s="223"/>
      <x:c r="F64" s="253"/>
      <x:c r="G64" s="223"/>
      <x:c r="H64" s="176"/>
      <x:c r="I64" s="223"/>
      <x:c r="J64" s="176"/>
      <x:c r="K64" s="223"/>
      <x:c r="L64" s="176"/>
      <x:c r="M64" s="223"/>
      <x:c r="N64" s="176"/>
      <x:c r="O64" s="223"/>
      <x:c r="P64" s="176"/>
      <x:c r="Q64" s="223"/>
      <x:c r="R64" s="241"/>
      <x:c r="S64" s="229" t="str">
        <x:f>IF(OR($E64="",$F64=""),"",$E64*$F64)</x:f>
      </x:c>
      <x:c r="T64" s="235" t="str">
        <x:f>IF($S64="","",$S64-IF($H64="Percentage",$S64*$I64,$I64)-IF($J64="Percentage",$S64*$K64,$K64))</x:f>
      </x:c>
      <x:c r="U64" s="235" t="str">
        <x:f>IF($T64="","",$T64-IF($L64="Percentage",$T64*$M64,$M64)-IF($N64="Percentage",$T64*$O64,$O64))</x:f>
      </x:c>
      <x:c r="V64" s="235" t="str">
        <x:f>IF(OR($G64="",$F64=""),"",$G64*$F64)</x:f>
      </x:c>
      <x:c r="W64" s="235" t="str">
        <x:f>IF($V64="","",$V64-IF($P64="Percentage",$V64*$Q64,$Q64))</x:f>
      </x:c>
      <x:c r="X64" s="235" t="str">
        <x:f>IF(OR($T64="",$V64=""),"",$T64-$V64)</x:f>
      </x:c>
      <x:c r="Y64" s="247" t="str">
        <x:f>IFERROR($X64/$T64,"")</x:f>
      </x:c>
      <x:c r="Z64" s="235" t="str">
        <x:f>IF(OR($U64="",$W64=""),"",$U64-$W64)</x:f>
      </x:c>
      <x:c r="AA64" s="247" t="str">
        <x:f>IFERROR($Z64/$U64,"")</x:f>
      </x:c>
      <x:c r="AB64" s="235" t="str">
        <x:f>IF(OR($S64="",$U64=""),"",$S64-$U64)</x:f>
      </x:c>
      <x:c r="AC64" s="247" t="str">
        <x:f>IFERROR($AB64/$S64,"")</x:f>
      </x:c>
      <x:c r="AD64" s="247" t="str">
        <x:f>IF(OR($Y64="",$AA64=""),"",$AA64-$Y64)</x:f>
      </x:c>
      <x:c r="AE64" s="199" t="str">
        <x:f>IF($A64="","",IF(IF($H64="Percentage",$S64*$I64,$I64)&gt;=MAX(IF($J64="Percentage",$S64*$K64,$K64),IF($L64="Percentage",$T64*$M64,$M64),IF($N64="Percentage",$T64*$O64,$O64)),"Customer discount",IF(IF($J64="Percentage",$S64*$K64,$K64)&gt;=MAX(IF($L64="Percentage",$T64*$M64,$M64),IF($N64="Percentage",$T64*$O64,$O64)),"Promotional discount",IF(IF($L64="Percentage",$T64*$M64,$M64)&gt;=IF($N64="Percentage",$T64*$O64,$O64),"Freight/service concession","Customer rebate"))))</x:f>
      </x:c>
      <x:c r="AF64" s="204" t="str">
        <x:f>IF($AA64="","",IF($R64="","No threshold set",IF($AA64&gt;=$R64,"Within configured threshold","Commercial review required")))</x:f>
      </x:c>
      <x:c r="AG64" s="177"/>
    </x:row>
    <x:row r="65">
      <x:c r="A65" s="175"/>
      <x:c r="B65" s="217"/>
      <x:c r="C65" s="176"/>
      <x:c r="D65" s="176"/>
      <x:c r="E65" s="223"/>
      <x:c r="F65" s="253"/>
      <x:c r="G65" s="223"/>
      <x:c r="H65" s="176"/>
      <x:c r="I65" s="223"/>
      <x:c r="J65" s="176"/>
      <x:c r="K65" s="223"/>
      <x:c r="L65" s="176"/>
      <x:c r="M65" s="223"/>
      <x:c r="N65" s="176"/>
      <x:c r="O65" s="223"/>
      <x:c r="P65" s="176"/>
      <x:c r="Q65" s="223"/>
      <x:c r="R65" s="241"/>
      <x:c r="S65" s="229" t="str">
        <x:f>IF(OR($E65="",$F65=""),"",$E65*$F65)</x:f>
      </x:c>
      <x:c r="T65" s="235" t="str">
        <x:f>IF($S65="","",$S65-IF($H65="Percentage",$S65*$I65,$I65)-IF($J65="Percentage",$S65*$K65,$K65))</x:f>
      </x:c>
      <x:c r="U65" s="235" t="str">
        <x:f>IF($T65="","",$T65-IF($L65="Percentage",$T65*$M65,$M65)-IF($N65="Percentage",$T65*$O65,$O65))</x:f>
      </x:c>
      <x:c r="V65" s="235" t="str">
        <x:f>IF(OR($G65="",$F65=""),"",$G65*$F65)</x:f>
      </x:c>
      <x:c r="W65" s="235" t="str">
        <x:f>IF($V65="","",$V65-IF($P65="Percentage",$V65*$Q65,$Q65))</x:f>
      </x:c>
      <x:c r="X65" s="235" t="str">
        <x:f>IF(OR($T65="",$V65=""),"",$T65-$V65)</x:f>
      </x:c>
      <x:c r="Y65" s="247" t="str">
        <x:f>IFERROR($X65/$T65,"")</x:f>
      </x:c>
      <x:c r="Z65" s="235" t="str">
        <x:f>IF(OR($U65="",$W65=""),"",$U65-$W65)</x:f>
      </x:c>
      <x:c r="AA65" s="247" t="str">
        <x:f>IFERROR($Z65/$U65,"")</x:f>
      </x:c>
      <x:c r="AB65" s="235" t="str">
        <x:f>IF(OR($S65="",$U65=""),"",$S65-$U65)</x:f>
      </x:c>
      <x:c r="AC65" s="247" t="str">
        <x:f>IFERROR($AB65/$S65,"")</x:f>
      </x:c>
      <x:c r="AD65" s="247" t="str">
        <x:f>IF(OR($Y65="",$AA65=""),"",$AA65-$Y65)</x:f>
      </x:c>
      <x:c r="AE65" s="199" t="str">
        <x:f>IF($A65="","",IF(IF($H65="Percentage",$S65*$I65,$I65)&gt;=MAX(IF($J65="Percentage",$S65*$K65,$K65),IF($L65="Percentage",$T65*$M65,$M65),IF($N65="Percentage",$T65*$O65,$O65)),"Customer discount",IF(IF($J65="Percentage",$S65*$K65,$K65)&gt;=MAX(IF($L65="Percentage",$T65*$M65,$M65),IF($N65="Percentage",$T65*$O65,$O65)),"Promotional discount",IF(IF($L65="Percentage",$T65*$M65,$M65)&gt;=IF($N65="Percentage",$T65*$O65,$O65),"Freight/service concession","Customer rebate"))))</x:f>
      </x:c>
      <x:c r="AF65" s="204" t="str">
        <x:f>IF($AA65="","",IF($R65="","No threshold set",IF($AA65&gt;=$R65,"Within configured threshold","Commercial review required")))</x:f>
      </x:c>
      <x:c r="AG65" s="177"/>
    </x:row>
    <x:row r="66">
      <x:c r="A66" s="175"/>
      <x:c r="B66" s="217"/>
      <x:c r="C66" s="176"/>
      <x:c r="D66" s="176"/>
      <x:c r="E66" s="223"/>
      <x:c r="F66" s="253"/>
      <x:c r="G66" s="223"/>
      <x:c r="H66" s="176"/>
      <x:c r="I66" s="223"/>
      <x:c r="J66" s="176"/>
      <x:c r="K66" s="223"/>
      <x:c r="L66" s="176"/>
      <x:c r="M66" s="223"/>
      <x:c r="N66" s="176"/>
      <x:c r="O66" s="223"/>
      <x:c r="P66" s="176"/>
      <x:c r="Q66" s="223"/>
      <x:c r="R66" s="241"/>
      <x:c r="S66" s="229" t="str">
        <x:f>IF(OR($E66="",$F66=""),"",$E66*$F66)</x:f>
      </x:c>
      <x:c r="T66" s="235" t="str">
        <x:f>IF($S66="","",$S66-IF($H66="Percentage",$S66*$I66,$I66)-IF($J66="Percentage",$S66*$K66,$K66))</x:f>
      </x:c>
      <x:c r="U66" s="235" t="str">
        <x:f>IF($T66="","",$T66-IF($L66="Percentage",$T66*$M66,$M66)-IF($N66="Percentage",$T66*$O66,$O66))</x:f>
      </x:c>
      <x:c r="V66" s="235" t="str">
        <x:f>IF(OR($G66="",$F66=""),"",$G66*$F66)</x:f>
      </x:c>
      <x:c r="W66" s="235" t="str">
        <x:f>IF($V66="","",$V66-IF($P66="Percentage",$V66*$Q66,$Q66))</x:f>
      </x:c>
      <x:c r="X66" s="235" t="str">
        <x:f>IF(OR($T66="",$V66=""),"",$T66-$V66)</x:f>
      </x:c>
      <x:c r="Y66" s="247" t="str">
        <x:f>IFERROR($X66/$T66,"")</x:f>
      </x:c>
      <x:c r="Z66" s="235" t="str">
        <x:f>IF(OR($U66="",$W66=""),"",$U66-$W66)</x:f>
      </x:c>
      <x:c r="AA66" s="247" t="str">
        <x:f>IFERROR($Z66/$U66,"")</x:f>
      </x:c>
      <x:c r="AB66" s="235" t="str">
        <x:f>IF(OR($S66="",$U66=""),"",$S66-$U66)</x:f>
      </x:c>
      <x:c r="AC66" s="247" t="str">
        <x:f>IFERROR($AB66/$S66,"")</x:f>
      </x:c>
      <x:c r="AD66" s="247" t="str">
        <x:f>IF(OR($Y66="",$AA66=""),"",$AA66-$Y66)</x:f>
      </x:c>
      <x:c r="AE66" s="199" t="str">
        <x:f>IF($A66="","",IF(IF($H66="Percentage",$S66*$I66,$I66)&gt;=MAX(IF($J66="Percentage",$S66*$K66,$K66),IF($L66="Percentage",$T66*$M66,$M66),IF($N66="Percentage",$T66*$O66,$O66)),"Customer discount",IF(IF($J66="Percentage",$S66*$K66,$K66)&gt;=MAX(IF($L66="Percentage",$T66*$M66,$M66),IF($N66="Percentage",$T66*$O66,$O66)),"Promotional discount",IF(IF($L66="Percentage",$T66*$M66,$M66)&gt;=IF($N66="Percentage",$T66*$O66,$O66),"Freight/service concession","Customer rebate"))))</x:f>
      </x:c>
      <x:c r="AF66" s="204" t="str">
        <x:f>IF($AA66="","",IF($R66="","No threshold set",IF($AA66&gt;=$R66,"Within configured threshold","Commercial review required")))</x:f>
      </x:c>
      <x:c r="AG66" s="177"/>
    </x:row>
    <x:row r="67">
      <x:c r="A67" s="175"/>
      <x:c r="B67" s="217"/>
      <x:c r="C67" s="176"/>
      <x:c r="D67" s="176"/>
      <x:c r="E67" s="223"/>
      <x:c r="F67" s="253"/>
      <x:c r="G67" s="223"/>
      <x:c r="H67" s="176"/>
      <x:c r="I67" s="223"/>
      <x:c r="J67" s="176"/>
      <x:c r="K67" s="223"/>
      <x:c r="L67" s="176"/>
      <x:c r="M67" s="223"/>
      <x:c r="N67" s="176"/>
      <x:c r="O67" s="223"/>
      <x:c r="P67" s="176"/>
      <x:c r="Q67" s="223"/>
      <x:c r="R67" s="241"/>
      <x:c r="S67" s="229" t="str">
        <x:f>IF(OR($E67="",$F67=""),"",$E67*$F67)</x:f>
      </x:c>
      <x:c r="T67" s="235" t="str">
        <x:f>IF($S67="","",$S67-IF($H67="Percentage",$S67*$I67,$I67)-IF($J67="Percentage",$S67*$K67,$K67))</x:f>
      </x:c>
      <x:c r="U67" s="235" t="str">
        <x:f>IF($T67="","",$T67-IF($L67="Percentage",$T67*$M67,$M67)-IF($N67="Percentage",$T67*$O67,$O67))</x:f>
      </x:c>
      <x:c r="V67" s="235" t="str">
        <x:f>IF(OR($G67="",$F67=""),"",$G67*$F67)</x:f>
      </x:c>
      <x:c r="W67" s="235" t="str">
        <x:f>IF($V67="","",$V67-IF($P67="Percentage",$V67*$Q67,$Q67))</x:f>
      </x:c>
      <x:c r="X67" s="235" t="str">
        <x:f>IF(OR($T67="",$V67=""),"",$T67-$V67)</x:f>
      </x:c>
      <x:c r="Y67" s="247" t="str">
        <x:f>IFERROR($X67/$T67,"")</x:f>
      </x:c>
      <x:c r="Z67" s="235" t="str">
        <x:f>IF(OR($U67="",$W67=""),"",$U67-$W67)</x:f>
      </x:c>
      <x:c r="AA67" s="247" t="str">
        <x:f>IFERROR($Z67/$U67,"")</x:f>
      </x:c>
      <x:c r="AB67" s="235" t="str">
        <x:f>IF(OR($S67="",$U67=""),"",$S67-$U67)</x:f>
      </x:c>
      <x:c r="AC67" s="247" t="str">
        <x:f>IFERROR($AB67/$S67,"")</x:f>
      </x:c>
      <x:c r="AD67" s="247" t="str">
        <x:f>IF(OR($Y67="",$AA67=""),"",$AA67-$Y67)</x:f>
      </x:c>
      <x:c r="AE67" s="199" t="str">
        <x:f>IF($A67="","",IF(IF($H67="Percentage",$S67*$I67,$I67)&gt;=MAX(IF($J67="Percentage",$S67*$K67,$K67),IF($L67="Percentage",$T67*$M67,$M67),IF($N67="Percentage",$T67*$O67,$O67)),"Customer discount",IF(IF($J67="Percentage",$S67*$K67,$K67)&gt;=MAX(IF($L67="Percentage",$T67*$M67,$M67),IF($N67="Percentage",$T67*$O67,$O67)),"Promotional discount",IF(IF($L67="Percentage",$T67*$M67,$M67)&gt;=IF($N67="Percentage",$T67*$O67,$O67),"Freight/service concession","Customer rebate"))))</x:f>
      </x:c>
      <x:c r="AF67" s="204" t="str">
        <x:f>IF($AA67="","",IF($R67="","No threshold set",IF($AA67&gt;=$R67,"Within configured threshold","Commercial review required")))</x:f>
      </x:c>
      <x:c r="AG67" s="177"/>
    </x:row>
    <x:row r="68">
      <x:c r="A68" s="175"/>
      <x:c r="B68" s="217"/>
      <x:c r="C68" s="176"/>
      <x:c r="D68" s="176"/>
      <x:c r="E68" s="223"/>
      <x:c r="F68" s="253"/>
      <x:c r="G68" s="223"/>
      <x:c r="H68" s="176"/>
      <x:c r="I68" s="223"/>
      <x:c r="J68" s="176"/>
      <x:c r="K68" s="223"/>
      <x:c r="L68" s="176"/>
      <x:c r="M68" s="223"/>
      <x:c r="N68" s="176"/>
      <x:c r="O68" s="223"/>
      <x:c r="P68" s="176"/>
      <x:c r="Q68" s="223"/>
      <x:c r="R68" s="241"/>
      <x:c r="S68" s="229" t="str">
        <x:f>IF(OR($E68="",$F68=""),"",$E68*$F68)</x:f>
      </x:c>
      <x:c r="T68" s="235" t="str">
        <x:f>IF($S68="","",$S68-IF($H68="Percentage",$S68*$I68,$I68)-IF($J68="Percentage",$S68*$K68,$K68))</x:f>
      </x:c>
      <x:c r="U68" s="235" t="str">
        <x:f>IF($T68="","",$T68-IF($L68="Percentage",$T68*$M68,$M68)-IF($N68="Percentage",$T68*$O68,$O68))</x:f>
      </x:c>
      <x:c r="V68" s="235" t="str">
        <x:f>IF(OR($G68="",$F68=""),"",$G68*$F68)</x:f>
      </x:c>
      <x:c r="W68" s="235" t="str">
        <x:f>IF($V68="","",$V68-IF($P68="Percentage",$V68*$Q68,$Q68))</x:f>
      </x:c>
      <x:c r="X68" s="235" t="str">
        <x:f>IF(OR($T68="",$V68=""),"",$T68-$V68)</x:f>
      </x:c>
      <x:c r="Y68" s="247" t="str">
        <x:f>IFERROR($X68/$T68,"")</x:f>
      </x:c>
      <x:c r="Z68" s="235" t="str">
        <x:f>IF(OR($U68="",$W68=""),"",$U68-$W68)</x:f>
      </x:c>
      <x:c r="AA68" s="247" t="str">
        <x:f>IFERROR($Z68/$U68,"")</x:f>
      </x:c>
      <x:c r="AB68" s="235" t="str">
        <x:f>IF(OR($S68="",$U68=""),"",$S68-$U68)</x:f>
      </x:c>
      <x:c r="AC68" s="247" t="str">
        <x:f>IFERROR($AB68/$S68,"")</x:f>
      </x:c>
      <x:c r="AD68" s="247" t="str">
        <x:f>IF(OR($Y68="",$AA68=""),"",$AA68-$Y68)</x:f>
      </x:c>
      <x:c r="AE68" s="199" t="str">
        <x:f>IF($A68="","",IF(IF($H68="Percentage",$S68*$I68,$I68)&gt;=MAX(IF($J68="Percentage",$S68*$K68,$K68),IF($L68="Percentage",$T68*$M68,$M68),IF($N68="Percentage",$T68*$O68,$O68)),"Customer discount",IF(IF($J68="Percentage",$S68*$K68,$K68)&gt;=MAX(IF($L68="Percentage",$T68*$M68,$M68),IF($N68="Percentage",$T68*$O68,$O68)),"Promotional discount",IF(IF($L68="Percentage",$T68*$M68,$M68)&gt;=IF($N68="Percentage",$T68*$O68,$O68),"Freight/service concession","Customer rebate"))))</x:f>
      </x:c>
      <x:c r="AF68" s="204" t="str">
        <x:f>IF($AA68="","",IF($R68="","No threshold set",IF($AA68&gt;=$R68,"Within configured threshold","Commercial review required")))</x:f>
      </x:c>
      <x:c r="AG68" s="177"/>
    </x:row>
    <x:row r="69">
      <x:c r="A69" s="175"/>
      <x:c r="B69" s="217"/>
      <x:c r="C69" s="176"/>
      <x:c r="D69" s="176"/>
      <x:c r="E69" s="223"/>
      <x:c r="F69" s="253"/>
      <x:c r="G69" s="223"/>
      <x:c r="H69" s="176"/>
      <x:c r="I69" s="223"/>
      <x:c r="J69" s="176"/>
      <x:c r="K69" s="223"/>
      <x:c r="L69" s="176"/>
      <x:c r="M69" s="223"/>
      <x:c r="N69" s="176"/>
      <x:c r="O69" s="223"/>
      <x:c r="P69" s="176"/>
      <x:c r="Q69" s="223"/>
      <x:c r="R69" s="241"/>
      <x:c r="S69" s="229" t="str">
        <x:f>IF(OR($E69="",$F69=""),"",$E69*$F69)</x:f>
      </x:c>
      <x:c r="T69" s="235" t="str">
        <x:f>IF($S69="","",$S69-IF($H69="Percentage",$S69*$I69,$I69)-IF($J69="Percentage",$S69*$K69,$K69))</x:f>
      </x:c>
      <x:c r="U69" s="235" t="str">
        <x:f>IF($T69="","",$T69-IF($L69="Percentage",$T69*$M69,$M69)-IF($N69="Percentage",$T69*$O69,$O69))</x:f>
      </x:c>
      <x:c r="V69" s="235" t="str">
        <x:f>IF(OR($G69="",$F69=""),"",$G69*$F69)</x:f>
      </x:c>
      <x:c r="W69" s="235" t="str">
        <x:f>IF($V69="","",$V69-IF($P69="Percentage",$V69*$Q69,$Q69))</x:f>
      </x:c>
      <x:c r="X69" s="235" t="str">
        <x:f>IF(OR($T69="",$V69=""),"",$T69-$V69)</x:f>
      </x:c>
      <x:c r="Y69" s="247" t="str">
        <x:f>IFERROR($X69/$T69,"")</x:f>
      </x:c>
      <x:c r="Z69" s="235" t="str">
        <x:f>IF(OR($U69="",$W69=""),"",$U69-$W69)</x:f>
      </x:c>
      <x:c r="AA69" s="247" t="str">
        <x:f>IFERROR($Z69/$U69,"")</x:f>
      </x:c>
      <x:c r="AB69" s="235" t="str">
        <x:f>IF(OR($S69="",$U69=""),"",$S69-$U69)</x:f>
      </x:c>
      <x:c r="AC69" s="247" t="str">
        <x:f>IFERROR($AB69/$S69,"")</x:f>
      </x:c>
      <x:c r="AD69" s="247" t="str">
        <x:f>IF(OR($Y69="",$AA69=""),"",$AA69-$Y69)</x:f>
      </x:c>
      <x:c r="AE69" s="199" t="str">
        <x:f>IF($A69="","",IF(IF($H69="Percentage",$S69*$I69,$I69)&gt;=MAX(IF($J69="Percentage",$S69*$K69,$K69),IF($L69="Percentage",$T69*$M69,$M69),IF($N69="Percentage",$T69*$O69,$O69)),"Customer discount",IF(IF($J69="Percentage",$S69*$K69,$K69)&gt;=MAX(IF($L69="Percentage",$T69*$M69,$M69),IF($N69="Percentage",$T69*$O69,$O69)),"Promotional discount",IF(IF($L69="Percentage",$T69*$M69,$M69)&gt;=IF($N69="Percentage",$T69*$O69,$O69),"Freight/service concession","Customer rebate"))))</x:f>
      </x:c>
      <x:c r="AF69" s="204" t="str">
        <x:f>IF($AA69="","",IF($R69="","No threshold set",IF($AA69&gt;=$R69,"Within configured threshold","Commercial review required")))</x:f>
      </x:c>
      <x:c r="AG69" s="177"/>
    </x:row>
    <x:row r="70">
      <x:c r="A70" s="175"/>
      <x:c r="B70" s="217"/>
      <x:c r="C70" s="176"/>
      <x:c r="D70" s="176"/>
      <x:c r="E70" s="223"/>
      <x:c r="F70" s="253"/>
      <x:c r="G70" s="223"/>
      <x:c r="H70" s="176"/>
      <x:c r="I70" s="223"/>
      <x:c r="J70" s="176"/>
      <x:c r="K70" s="223"/>
      <x:c r="L70" s="176"/>
      <x:c r="M70" s="223"/>
      <x:c r="N70" s="176"/>
      <x:c r="O70" s="223"/>
      <x:c r="P70" s="176"/>
      <x:c r="Q70" s="223"/>
      <x:c r="R70" s="241"/>
      <x:c r="S70" s="229" t="str">
        <x:f>IF(OR($E70="",$F70=""),"",$E70*$F70)</x:f>
      </x:c>
      <x:c r="T70" s="235" t="str">
        <x:f>IF($S70="","",$S70-IF($H70="Percentage",$S70*$I70,$I70)-IF($J70="Percentage",$S70*$K70,$K70))</x:f>
      </x:c>
      <x:c r="U70" s="235" t="str">
        <x:f>IF($T70="","",$T70-IF($L70="Percentage",$T70*$M70,$M70)-IF($N70="Percentage",$T70*$O70,$O70))</x:f>
      </x:c>
      <x:c r="V70" s="235" t="str">
        <x:f>IF(OR($G70="",$F70=""),"",$G70*$F70)</x:f>
      </x:c>
      <x:c r="W70" s="235" t="str">
        <x:f>IF($V70="","",$V70-IF($P70="Percentage",$V70*$Q70,$Q70))</x:f>
      </x:c>
      <x:c r="X70" s="235" t="str">
        <x:f>IF(OR($T70="",$V70=""),"",$T70-$V70)</x:f>
      </x:c>
      <x:c r="Y70" s="247" t="str">
        <x:f>IFERROR($X70/$T70,"")</x:f>
      </x:c>
      <x:c r="Z70" s="235" t="str">
        <x:f>IF(OR($U70="",$W70=""),"",$U70-$W70)</x:f>
      </x:c>
      <x:c r="AA70" s="247" t="str">
        <x:f>IFERROR($Z70/$U70,"")</x:f>
      </x:c>
      <x:c r="AB70" s="235" t="str">
        <x:f>IF(OR($S70="",$U70=""),"",$S70-$U70)</x:f>
      </x:c>
      <x:c r="AC70" s="247" t="str">
        <x:f>IFERROR($AB70/$S70,"")</x:f>
      </x:c>
      <x:c r="AD70" s="247" t="str">
        <x:f>IF(OR($Y70="",$AA70=""),"",$AA70-$Y70)</x:f>
      </x:c>
      <x:c r="AE70" s="199" t="str">
        <x:f>IF($A70="","",IF(IF($H70="Percentage",$S70*$I70,$I70)&gt;=MAX(IF($J70="Percentage",$S70*$K70,$K70),IF($L70="Percentage",$T70*$M70,$M70),IF($N70="Percentage",$T70*$O70,$O70)),"Customer discount",IF(IF($J70="Percentage",$S70*$K70,$K70)&gt;=MAX(IF($L70="Percentage",$T70*$M70,$M70),IF($N70="Percentage",$T70*$O70,$O70)),"Promotional discount",IF(IF($L70="Percentage",$T70*$M70,$M70)&gt;=IF($N70="Percentage",$T70*$O70,$O70),"Freight/service concession","Customer rebate"))))</x:f>
      </x:c>
      <x:c r="AF70" s="204" t="str">
        <x:f>IF($AA70="","",IF($R70="","No threshold set",IF($AA70&gt;=$R70,"Within configured threshold","Commercial review required")))</x:f>
      </x:c>
      <x:c r="AG70" s="177"/>
    </x:row>
    <x:row r="71">
      <x:c r="A71" s="175"/>
      <x:c r="B71" s="217"/>
      <x:c r="C71" s="176"/>
      <x:c r="D71" s="176"/>
      <x:c r="E71" s="223"/>
      <x:c r="F71" s="253"/>
      <x:c r="G71" s="223"/>
      <x:c r="H71" s="176"/>
      <x:c r="I71" s="223"/>
      <x:c r="J71" s="176"/>
      <x:c r="K71" s="223"/>
      <x:c r="L71" s="176"/>
      <x:c r="M71" s="223"/>
      <x:c r="N71" s="176"/>
      <x:c r="O71" s="223"/>
      <x:c r="P71" s="176"/>
      <x:c r="Q71" s="223"/>
      <x:c r="R71" s="241"/>
      <x:c r="S71" s="229" t="str">
        <x:f>IF(OR($E71="",$F71=""),"",$E71*$F71)</x:f>
      </x:c>
      <x:c r="T71" s="235" t="str">
        <x:f>IF($S71="","",$S71-IF($H71="Percentage",$S71*$I71,$I71)-IF($J71="Percentage",$S71*$K71,$K71))</x:f>
      </x:c>
      <x:c r="U71" s="235" t="str">
        <x:f>IF($T71="","",$T71-IF($L71="Percentage",$T71*$M71,$M71)-IF($N71="Percentage",$T71*$O71,$O71))</x:f>
      </x:c>
      <x:c r="V71" s="235" t="str">
        <x:f>IF(OR($G71="",$F71=""),"",$G71*$F71)</x:f>
      </x:c>
      <x:c r="W71" s="235" t="str">
        <x:f>IF($V71="","",$V71-IF($P71="Percentage",$V71*$Q71,$Q71))</x:f>
      </x:c>
      <x:c r="X71" s="235" t="str">
        <x:f>IF(OR($T71="",$V71=""),"",$T71-$V71)</x:f>
      </x:c>
      <x:c r="Y71" s="247" t="str">
        <x:f>IFERROR($X71/$T71,"")</x:f>
      </x:c>
      <x:c r="Z71" s="235" t="str">
        <x:f>IF(OR($U71="",$W71=""),"",$U71-$W71)</x:f>
      </x:c>
      <x:c r="AA71" s="247" t="str">
        <x:f>IFERROR($Z71/$U71,"")</x:f>
      </x:c>
      <x:c r="AB71" s="235" t="str">
        <x:f>IF(OR($S71="",$U71=""),"",$S71-$U71)</x:f>
      </x:c>
      <x:c r="AC71" s="247" t="str">
        <x:f>IFERROR($AB71/$S71,"")</x:f>
      </x:c>
      <x:c r="AD71" s="247" t="str">
        <x:f>IF(OR($Y71="",$AA71=""),"",$AA71-$Y71)</x:f>
      </x:c>
      <x:c r="AE71" s="199" t="str">
        <x:f>IF($A71="","",IF(IF($H71="Percentage",$S71*$I71,$I71)&gt;=MAX(IF($J71="Percentage",$S71*$K71,$K71),IF($L71="Percentage",$T71*$M71,$M71),IF($N71="Percentage",$T71*$O71,$O71)),"Customer discount",IF(IF($J71="Percentage",$S71*$K71,$K71)&gt;=MAX(IF($L71="Percentage",$T71*$M71,$M71),IF($N71="Percentage",$T71*$O71,$O71)),"Promotional discount",IF(IF($L71="Percentage",$T71*$M71,$M71)&gt;=IF($N71="Percentage",$T71*$O71,$O71),"Freight/service concession","Customer rebate"))))</x:f>
      </x:c>
      <x:c r="AF71" s="204" t="str">
        <x:f>IF($AA71="","",IF($R71="","No threshold set",IF($AA71&gt;=$R71,"Within configured threshold","Commercial review required")))</x:f>
      </x:c>
      <x:c r="AG71" s="177"/>
    </x:row>
    <x:row r="72">
      <x:c r="A72" s="175"/>
      <x:c r="B72" s="217"/>
      <x:c r="C72" s="176"/>
      <x:c r="D72" s="176"/>
      <x:c r="E72" s="223"/>
      <x:c r="F72" s="253"/>
      <x:c r="G72" s="223"/>
      <x:c r="H72" s="176"/>
      <x:c r="I72" s="223"/>
      <x:c r="J72" s="176"/>
      <x:c r="K72" s="223"/>
      <x:c r="L72" s="176"/>
      <x:c r="M72" s="223"/>
      <x:c r="N72" s="176"/>
      <x:c r="O72" s="223"/>
      <x:c r="P72" s="176"/>
      <x:c r="Q72" s="223"/>
      <x:c r="R72" s="241"/>
      <x:c r="S72" s="229" t="str">
        <x:f>IF(OR($E72="",$F72=""),"",$E72*$F72)</x:f>
      </x:c>
      <x:c r="T72" s="235" t="str">
        <x:f>IF($S72="","",$S72-IF($H72="Percentage",$S72*$I72,$I72)-IF($J72="Percentage",$S72*$K72,$K72))</x:f>
      </x:c>
      <x:c r="U72" s="235" t="str">
        <x:f>IF($T72="","",$T72-IF($L72="Percentage",$T72*$M72,$M72)-IF($N72="Percentage",$T72*$O72,$O72))</x:f>
      </x:c>
      <x:c r="V72" s="235" t="str">
        <x:f>IF(OR($G72="",$F72=""),"",$G72*$F72)</x:f>
      </x:c>
      <x:c r="W72" s="235" t="str">
        <x:f>IF($V72="","",$V72-IF($P72="Percentage",$V72*$Q72,$Q72))</x:f>
      </x:c>
      <x:c r="X72" s="235" t="str">
        <x:f>IF(OR($T72="",$V72=""),"",$T72-$V72)</x:f>
      </x:c>
      <x:c r="Y72" s="247" t="str">
        <x:f>IFERROR($X72/$T72,"")</x:f>
      </x:c>
      <x:c r="Z72" s="235" t="str">
        <x:f>IF(OR($U72="",$W72=""),"",$U72-$W72)</x:f>
      </x:c>
      <x:c r="AA72" s="247" t="str">
        <x:f>IFERROR($Z72/$U72,"")</x:f>
      </x:c>
      <x:c r="AB72" s="235" t="str">
        <x:f>IF(OR($S72="",$U72=""),"",$S72-$U72)</x:f>
      </x:c>
      <x:c r="AC72" s="247" t="str">
        <x:f>IFERROR($AB72/$S72,"")</x:f>
      </x:c>
      <x:c r="AD72" s="247" t="str">
        <x:f>IF(OR($Y72="",$AA72=""),"",$AA72-$Y72)</x:f>
      </x:c>
      <x:c r="AE72" s="199" t="str">
        <x:f>IF($A72="","",IF(IF($H72="Percentage",$S72*$I72,$I72)&gt;=MAX(IF($J72="Percentage",$S72*$K72,$K72),IF($L72="Percentage",$T72*$M72,$M72),IF($N72="Percentage",$T72*$O72,$O72)),"Customer discount",IF(IF($J72="Percentage",$S72*$K72,$K72)&gt;=MAX(IF($L72="Percentage",$T72*$M72,$M72),IF($N72="Percentage",$T72*$O72,$O72)),"Promotional discount",IF(IF($L72="Percentage",$T72*$M72,$M72)&gt;=IF($N72="Percentage",$T72*$O72,$O72),"Freight/service concession","Customer rebate"))))</x:f>
      </x:c>
      <x:c r="AF72" s="204" t="str">
        <x:f>IF($AA72="","",IF($R72="","No threshold set",IF($AA72&gt;=$R72,"Within configured threshold","Commercial review required")))</x:f>
      </x:c>
      <x:c r="AG72" s="177"/>
    </x:row>
    <x:row r="73">
      <x:c r="A73" s="175"/>
      <x:c r="B73" s="217"/>
      <x:c r="C73" s="176"/>
      <x:c r="D73" s="176"/>
      <x:c r="E73" s="223"/>
      <x:c r="F73" s="253"/>
      <x:c r="G73" s="223"/>
      <x:c r="H73" s="176"/>
      <x:c r="I73" s="223"/>
      <x:c r="J73" s="176"/>
      <x:c r="K73" s="223"/>
      <x:c r="L73" s="176"/>
      <x:c r="M73" s="223"/>
      <x:c r="N73" s="176"/>
      <x:c r="O73" s="223"/>
      <x:c r="P73" s="176"/>
      <x:c r="Q73" s="223"/>
      <x:c r="R73" s="241"/>
      <x:c r="S73" s="229" t="str">
        <x:f>IF(OR($E73="",$F73=""),"",$E73*$F73)</x:f>
      </x:c>
      <x:c r="T73" s="235" t="str">
        <x:f>IF($S73="","",$S73-IF($H73="Percentage",$S73*$I73,$I73)-IF($J73="Percentage",$S73*$K73,$K73))</x:f>
      </x:c>
      <x:c r="U73" s="235" t="str">
        <x:f>IF($T73="","",$T73-IF($L73="Percentage",$T73*$M73,$M73)-IF($N73="Percentage",$T73*$O73,$O73))</x:f>
      </x:c>
      <x:c r="V73" s="235" t="str">
        <x:f>IF(OR($G73="",$F73=""),"",$G73*$F73)</x:f>
      </x:c>
      <x:c r="W73" s="235" t="str">
        <x:f>IF($V73="","",$V73-IF($P73="Percentage",$V73*$Q73,$Q73))</x:f>
      </x:c>
      <x:c r="X73" s="235" t="str">
        <x:f>IF(OR($T73="",$V73=""),"",$T73-$V73)</x:f>
      </x:c>
      <x:c r="Y73" s="247" t="str">
        <x:f>IFERROR($X73/$T73,"")</x:f>
      </x:c>
      <x:c r="Z73" s="235" t="str">
        <x:f>IF(OR($U73="",$W73=""),"",$U73-$W73)</x:f>
      </x:c>
      <x:c r="AA73" s="247" t="str">
        <x:f>IFERROR($Z73/$U73,"")</x:f>
      </x:c>
      <x:c r="AB73" s="235" t="str">
        <x:f>IF(OR($S73="",$U73=""),"",$S73-$U73)</x:f>
      </x:c>
      <x:c r="AC73" s="247" t="str">
        <x:f>IFERROR($AB73/$S73,"")</x:f>
      </x:c>
      <x:c r="AD73" s="247" t="str">
        <x:f>IF(OR($Y73="",$AA73=""),"",$AA73-$Y73)</x:f>
      </x:c>
      <x:c r="AE73" s="199" t="str">
        <x:f>IF($A73="","",IF(IF($H73="Percentage",$S73*$I73,$I73)&gt;=MAX(IF($J73="Percentage",$S73*$K73,$K73),IF($L73="Percentage",$T73*$M73,$M73),IF($N73="Percentage",$T73*$O73,$O73)),"Customer discount",IF(IF($J73="Percentage",$S73*$K73,$K73)&gt;=MAX(IF($L73="Percentage",$T73*$M73,$M73),IF($N73="Percentage",$T73*$O73,$O73)),"Promotional discount",IF(IF($L73="Percentage",$T73*$M73,$M73)&gt;=IF($N73="Percentage",$T73*$O73,$O73),"Freight/service concession","Customer rebate"))))</x:f>
      </x:c>
      <x:c r="AF73" s="204" t="str">
        <x:f>IF($AA73="","",IF($R73="","No threshold set",IF($AA73&gt;=$R73,"Within configured threshold","Commercial review required")))</x:f>
      </x:c>
      <x:c r="AG73" s="177"/>
    </x:row>
    <x:row r="74">
      <x:c r="A74" s="175"/>
      <x:c r="B74" s="217"/>
      <x:c r="C74" s="176"/>
      <x:c r="D74" s="176"/>
      <x:c r="E74" s="223"/>
      <x:c r="F74" s="253"/>
      <x:c r="G74" s="223"/>
      <x:c r="H74" s="176"/>
      <x:c r="I74" s="223"/>
      <x:c r="J74" s="176"/>
      <x:c r="K74" s="223"/>
      <x:c r="L74" s="176"/>
      <x:c r="M74" s="223"/>
      <x:c r="N74" s="176"/>
      <x:c r="O74" s="223"/>
      <x:c r="P74" s="176"/>
      <x:c r="Q74" s="223"/>
      <x:c r="R74" s="241"/>
      <x:c r="S74" s="229" t="str">
        <x:f>IF(OR($E74="",$F74=""),"",$E74*$F74)</x:f>
      </x:c>
      <x:c r="T74" s="235" t="str">
        <x:f>IF($S74="","",$S74-IF($H74="Percentage",$S74*$I74,$I74)-IF($J74="Percentage",$S74*$K74,$K74))</x:f>
      </x:c>
      <x:c r="U74" s="235" t="str">
        <x:f>IF($T74="","",$T74-IF($L74="Percentage",$T74*$M74,$M74)-IF($N74="Percentage",$T74*$O74,$O74))</x:f>
      </x:c>
      <x:c r="V74" s="235" t="str">
        <x:f>IF(OR($G74="",$F74=""),"",$G74*$F74)</x:f>
      </x:c>
      <x:c r="W74" s="235" t="str">
        <x:f>IF($V74="","",$V74-IF($P74="Percentage",$V74*$Q74,$Q74))</x:f>
      </x:c>
      <x:c r="X74" s="235" t="str">
        <x:f>IF(OR($T74="",$V74=""),"",$T74-$V74)</x:f>
      </x:c>
      <x:c r="Y74" s="247" t="str">
        <x:f>IFERROR($X74/$T74,"")</x:f>
      </x:c>
      <x:c r="Z74" s="235" t="str">
        <x:f>IF(OR($U74="",$W74=""),"",$U74-$W74)</x:f>
      </x:c>
      <x:c r="AA74" s="247" t="str">
        <x:f>IFERROR($Z74/$U74,"")</x:f>
      </x:c>
      <x:c r="AB74" s="235" t="str">
        <x:f>IF(OR($S74="",$U74=""),"",$S74-$U74)</x:f>
      </x:c>
      <x:c r="AC74" s="247" t="str">
        <x:f>IFERROR($AB74/$S74,"")</x:f>
      </x:c>
      <x:c r="AD74" s="247" t="str">
        <x:f>IF(OR($Y74="",$AA74=""),"",$AA74-$Y74)</x:f>
      </x:c>
      <x:c r="AE74" s="199" t="str">
        <x:f>IF($A74="","",IF(IF($H74="Percentage",$S74*$I74,$I74)&gt;=MAX(IF($J74="Percentage",$S74*$K74,$K74),IF($L74="Percentage",$T74*$M74,$M74),IF($N74="Percentage",$T74*$O74,$O74)),"Customer discount",IF(IF($J74="Percentage",$S74*$K74,$K74)&gt;=MAX(IF($L74="Percentage",$T74*$M74,$M74),IF($N74="Percentage",$T74*$O74,$O74)),"Promotional discount",IF(IF($L74="Percentage",$T74*$M74,$M74)&gt;=IF($N74="Percentage",$T74*$O74,$O74),"Freight/service concession","Customer rebate"))))</x:f>
      </x:c>
      <x:c r="AF74" s="204" t="str">
        <x:f>IF($AA74="","",IF($R74="","No threshold set",IF($AA74&gt;=$R74,"Within configured threshold","Commercial review required")))</x:f>
      </x:c>
      <x:c r="AG74" s="177"/>
    </x:row>
    <x:row r="75">
      <x:c r="A75" s="175"/>
      <x:c r="B75" s="217"/>
      <x:c r="C75" s="176"/>
      <x:c r="D75" s="176"/>
      <x:c r="E75" s="223"/>
      <x:c r="F75" s="253"/>
      <x:c r="G75" s="223"/>
      <x:c r="H75" s="176"/>
      <x:c r="I75" s="223"/>
      <x:c r="J75" s="176"/>
      <x:c r="K75" s="223"/>
      <x:c r="L75" s="176"/>
      <x:c r="M75" s="223"/>
      <x:c r="N75" s="176"/>
      <x:c r="O75" s="223"/>
      <x:c r="P75" s="176"/>
      <x:c r="Q75" s="223"/>
      <x:c r="R75" s="241"/>
      <x:c r="S75" s="229" t="str">
        <x:f>IF(OR($E75="",$F75=""),"",$E75*$F75)</x:f>
      </x:c>
      <x:c r="T75" s="235" t="str">
        <x:f>IF($S75="","",$S75-IF($H75="Percentage",$S75*$I75,$I75)-IF($J75="Percentage",$S75*$K75,$K75))</x:f>
      </x:c>
      <x:c r="U75" s="235" t="str">
        <x:f>IF($T75="","",$T75-IF($L75="Percentage",$T75*$M75,$M75)-IF($N75="Percentage",$T75*$O75,$O75))</x:f>
      </x:c>
      <x:c r="V75" s="235" t="str">
        <x:f>IF(OR($G75="",$F75=""),"",$G75*$F75)</x:f>
      </x:c>
      <x:c r="W75" s="235" t="str">
        <x:f>IF($V75="","",$V75-IF($P75="Percentage",$V75*$Q75,$Q75))</x:f>
      </x:c>
      <x:c r="X75" s="235" t="str">
        <x:f>IF(OR($T75="",$V75=""),"",$T75-$V75)</x:f>
      </x:c>
      <x:c r="Y75" s="247" t="str">
        <x:f>IFERROR($X75/$T75,"")</x:f>
      </x:c>
      <x:c r="Z75" s="235" t="str">
        <x:f>IF(OR($U75="",$W75=""),"",$U75-$W75)</x:f>
      </x:c>
      <x:c r="AA75" s="247" t="str">
        <x:f>IFERROR($Z75/$U75,"")</x:f>
      </x:c>
      <x:c r="AB75" s="235" t="str">
        <x:f>IF(OR($S75="",$U75=""),"",$S75-$U75)</x:f>
      </x:c>
      <x:c r="AC75" s="247" t="str">
        <x:f>IFERROR($AB75/$S75,"")</x:f>
      </x:c>
      <x:c r="AD75" s="247" t="str">
        <x:f>IF(OR($Y75="",$AA75=""),"",$AA75-$Y75)</x:f>
      </x:c>
      <x:c r="AE75" s="199" t="str">
        <x:f>IF($A75="","",IF(IF($H75="Percentage",$S75*$I75,$I75)&gt;=MAX(IF($J75="Percentage",$S75*$K75,$K75),IF($L75="Percentage",$T75*$M75,$M75),IF($N75="Percentage",$T75*$O75,$O75)),"Customer discount",IF(IF($J75="Percentage",$S75*$K75,$K75)&gt;=MAX(IF($L75="Percentage",$T75*$M75,$M75),IF($N75="Percentage",$T75*$O75,$O75)),"Promotional discount",IF(IF($L75="Percentage",$T75*$M75,$M75)&gt;=IF($N75="Percentage",$T75*$O75,$O75),"Freight/service concession","Customer rebate"))))</x:f>
      </x:c>
      <x:c r="AF75" s="204" t="str">
        <x:f>IF($AA75="","",IF($R75="","No threshold set",IF($AA75&gt;=$R75,"Within configured threshold","Commercial review required")))</x:f>
      </x:c>
      <x:c r="AG75" s="177"/>
    </x:row>
    <x:row r="76">
      <x:c r="A76" s="175"/>
      <x:c r="B76" s="217"/>
      <x:c r="C76" s="176"/>
      <x:c r="D76" s="176"/>
      <x:c r="E76" s="223"/>
      <x:c r="F76" s="253"/>
      <x:c r="G76" s="223"/>
      <x:c r="H76" s="176"/>
      <x:c r="I76" s="223"/>
      <x:c r="J76" s="176"/>
      <x:c r="K76" s="223"/>
      <x:c r="L76" s="176"/>
      <x:c r="M76" s="223"/>
      <x:c r="N76" s="176"/>
      <x:c r="O76" s="223"/>
      <x:c r="P76" s="176"/>
      <x:c r="Q76" s="223"/>
      <x:c r="R76" s="241"/>
      <x:c r="S76" s="229" t="str">
        <x:f>IF(OR($E76="",$F76=""),"",$E76*$F76)</x:f>
      </x:c>
      <x:c r="T76" s="235" t="str">
        <x:f>IF($S76="","",$S76-IF($H76="Percentage",$S76*$I76,$I76)-IF($J76="Percentage",$S76*$K76,$K76))</x:f>
      </x:c>
      <x:c r="U76" s="235" t="str">
        <x:f>IF($T76="","",$T76-IF($L76="Percentage",$T76*$M76,$M76)-IF($N76="Percentage",$T76*$O76,$O76))</x:f>
      </x:c>
      <x:c r="V76" s="235" t="str">
        <x:f>IF(OR($G76="",$F76=""),"",$G76*$F76)</x:f>
      </x:c>
      <x:c r="W76" s="235" t="str">
        <x:f>IF($V76="","",$V76-IF($P76="Percentage",$V76*$Q76,$Q76))</x:f>
      </x:c>
      <x:c r="X76" s="235" t="str">
        <x:f>IF(OR($T76="",$V76=""),"",$T76-$V76)</x:f>
      </x:c>
      <x:c r="Y76" s="247" t="str">
        <x:f>IFERROR($X76/$T76,"")</x:f>
      </x:c>
      <x:c r="Z76" s="235" t="str">
        <x:f>IF(OR($U76="",$W76=""),"",$U76-$W76)</x:f>
      </x:c>
      <x:c r="AA76" s="247" t="str">
        <x:f>IFERROR($Z76/$U76,"")</x:f>
      </x:c>
      <x:c r="AB76" s="235" t="str">
        <x:f>IF(OR($S76="",$U76=""),"",$S76-$U76)</x:f>
      </x:c>
      <x:c r="AC76" s="247" t="str">
        <x:f>IFERROR($AB76/$S76,"")</x:f>
      </x:c>
      <x:c r="AD76" s="247" t="str">
        <x:f>IF(OR($Y76="",$AA76=""),"",$AA76-$Y76)</x:f>
      </x:c>
      <x:c r="AE76" s="199" t="str">
        <x:f>IF($A76="","",IF(IF($H76="Percentage",$S76*$I76,$I76)&gt;=MAX(IF($J76="Percentage",$S76*$K76,$K76),IF($L76="Percentage",$T76*$M76,$M76),IF($N76="Percentage",$T76*$O76,$O76)),"Customer discount",IF(IF($J76="Percentage",$S76*$K76,$K76)&gt;=MAX(IF($L76="Percentage",$T76*$M76,$M76),IF($N76="Percentage",$T76*$O76,$O76)),"Promotional discount",IF(IF($L76="Percentage",$T76*$M76,$M76)&gt;=IF($N76="Percentage",$T76*$O76,$O76),"Freight/service concession","Customer rebate"))))</x:f>
      </x:c>
      <x:c r="AF76" s="204" t="str">
        <x:f>IF($AA76="","",IF($R76="","No threshold set",IF($AA76&gt;=$R76,"Within configured threshold","Commercial review required")))</x:f>
      </x:c>
      <x:c r="AG76" s="177"/>
    </x:row>
    <x:row r="77">
      <x:c r="A77" s="175"/>
      <x:c r="B77" s="217"/>
      <x:c r="C77" s="176"/>
      <x:c r="D77" s="176"/>
      <x:c r="E77" s="223"/>
      <x:c r="F77" s="253"/>
      <x:c r="G77" s="223"/>
      <x:c r="H77" s="176"/>
      <x:c r="I77" s="223"/>
      <x:c r="J77" s="176"/>
      <x:c r="K77" s="223"/>
      <x:c r="L77" s="176"/>
      <x:c r="M77" s="223"/>
      <x:c r="N77" s="176"/>
      <x:c r="O77" s="223"/>
      <x:c r="P77" s="176"/>
      <x:c r="Q77" s="223"/>
      <x:c r="R77" s="241"/>
      <x:c r="S77" s="229" t="str">
        <x:f>IF(OR($E77="",$F77=""),"",$E77*$F77)</x:f>
      </x:c>
      <x:c r="T77" s="235" t="str">
        <x:f>IF($S77="","",$S77-IF($H77="Percentage",$S77*$I77,$I77)-IF($J77="Percentage",$S77*$K77,$K77))</x:f>
      </x:c>
      <x:c r="U77" s="235" t="str">
        <x:f>IF($T77="","",$T77-IF($L77="Percentage",$T77*$M77,$M77)-IF($N77="Percentage",$T77*$O77,$O77))</x:f>
      </x:c>
      <x:c r="V77" s="235" t="str">
        <x:f>IF(OR($G77="",$F77=""),"",$G77*$F77)</x:f>
      </x:c>
      <x:c r="W77" s="235" t="str">
        <x:f>IF($V77="","",$V77-IF($P77="Percentage",$V77*$Q77,$Q77))</x:f>
      </x:c>
      <x:c r="X77" s="235" t="str">
        <x:f>IF(OR($T77="",$V77=""),"",$T77-$V77)</x:f>
      </x:c>
      <x:c r="Y77" s="247" t="str">
        <x:f>IFERROR($X77/$T77,"")</x:f>
      </x:c>
      <x:c r="Z77" s="235" t="str">
        <x:f>IF(OR($U77="",$W77=""),"",$U77-$W77)</x:f>
      </x:c>
      <x:c r="AA77" s="247" t="str">
        <x:f>IFERROR($Z77/$U77,"")</x:f>
      </x:c>
      <x:c r="AB77" s="235" t="str">
        <x:f>IF(OR($S77="",$U77=""),"",$S77-$U77)</x:f>
      </x:c>
      <x:c r="AC77" s="247" t="str">
        <x:f>IFERROR($AB77/$S77,"")</x:f>
      </x:c>
      <x:c r="AD77" s="247" t="str">
        <x:f>IF(OR($Y77="",$AA77=""),"",$AA77-$Y77)</x:f>
      </x:c>
      <x:c r="AE77" s="199" t="str">
        <x:f>IF($A77="","",IF(IF($H77="Percentage",$S77*$I77,$I77)&gt;=MAX(IF($J77="Percentage",$S77*$K77,$K77),IF($L77="Percentage",$T77*$M77,$M77),IF($N77="Percentage",$T77*$O77,$O77)),"Customer discount",IF(IF($J77="Percentage",$S77*$K77,$K77)&gt;=MAX(IF($L77="Percentage",$T77*$M77,$M77),IF($N77="Percentage",$T77*$O77,$O77)),"Promotional discount",IF(IF($L77="Percentage",$T77*$M77,$M77)&gt;=IF($N77="Percentage",$T77*$O77,$O77),"Freight/service concession","Customer rebate"))))</x:f>
      </x:c>
      <x:c r="AF77" s="204" t="str">
        <x:f>IF($AA77="","",IF($R77="","No threshold set",IF($AA77&gt;=$R77,"Within configured threshold","Commercial review required")))</x:f>
      </x:c>
      <x:c r="AG77" s="177"/>
    </x:row>
    <x:row r="78">
      <x:c r="A78" s="175"/>
      <x:c r="B78" s="217"/>
      <x:c r="C78" s="176"/>
      <x:c r="D78" s="176"/>
      <x:c r="E78" s="223"/>
      <x:c r="F78" s="253"/>
      <x:c r="G78" s="223"/>
      <x:c r="H78" s="176"/>
      <x:c r="I78" s="223"/>
      <x:c r="J78" s="176"/>
      <x:c r="K78" s="223"/>
      <x:c r="L78" s="176"/>
      <x:c r="M78" s="223"/>
      <x:c r="N78" s="176"/>
      <x:c r="O78" s="223"/>
      <x:c r="P78" s="176"/>
      <x:c r="Q78" s="223"/>
      <x:c r="R78" s="241"/>
      <x:c r="S78" s="229" t="str">
        <x:f>IF(OR($E78="",$F78=""),"",$E78*$F78)</x:f>
      </x:c>
      <x:c r="T78" s="235" t="str">
        <x:f>IF($S78="","",$S78-IF($H78="Percentage",$S78*$I78,$I78)-IF($J78="Percentage",$S78*$K78,$K78))</x:f>
      </x:c>
      <x:c r="U78" s="235" t="str">
        <x:f>IF($T78="","",$T78-IF($L78="Percentage",$T78*$M78,$M78)-IF($N78="Percentage",$T78*$O78,$O78))</x:f>
      </x:c>
      <x:c r="V78" s="235" t="str">
        <x:f>IF(OR($G78="",$F78=""),"",$G78*$F78)</x:f>
      </x:c>
      <x:c r="W78" s="235" t="str">
        <x:f>IF($V78="","",$V78-IF($P78="Percentage",$V78*$Q78,$Q78))</x:f>
      </x:c>
      <x:c r="X78" s="235" t="str">
        <x:f>IF(OR($T78="",$V78=""),"",$T78-$V78)</x:f>
      </x:c>
      <x:c r="Y78" s="247" t="str">
        <x:f>IFERROR($X78/$T78,"")</x:f>
      </x:c>
      <x:c r="Z78" s="235" t="str">
        <x:f>IF(OR($U78="",$W78=""),"",$U78-$W78)</x:f>
      </x:c>
      <x:c r="AA78" s="247" t="str">
        <x:f>IFERROR($Z78/$U78,"")</x:f>
      </x:c>
      <x:c r="AB78" s="235" t="str">
        <x:f>IF(OR($S78="",$U78=""),"",$S78-$U78)</x:f>
      </x:c>
      <x:c r="AC78" s="247" t="str">
        <x:f>IFERROR($AB78/$S78,"")</x:f>
      </x:c>
      <x:c r="AD78" s="247" t="str">
        <x:f>IF(OR($Y78="",$AA78=""),"",$AA78-$Y78)</x:f>
      </x:c>
      <x:c r="AE78" s="199" t="str">
        <x:f>IF($A78="","",IF(IF($H78="Percentage",$S78*$I78,$I78)&gt;=MAX(IF($J78="Percentage",$S78*$K78,$K78),IF($L78="Percentage",$T78*$M78,$M78),IF($N78="Percentage",$T78*$O78,$O78)),"Customer discount",IF(IF($J78="Percentage",$S78*$K78,$K78)&gt;=MAX(IF($L78="Percentage",$T78*$M78,$M78),IF($N78="Percentage",$T78*$O78,$O78)),"Promotional discount",IF(IF($L78="Percentage",$T78*$M78,$M78)&gt;=IF($N78="Percentage",$T78*$O78,$O78),"Freight/service concession","Customer rebate"))))</x:f>
      </x:c>
      <x:c r="AF78" s="204" t="str">
        <x:f>IF($AA78="","",IF($R78="","No threshold set",IF($AA78&gt;=$R78,"Within configured threshold","Commercial review required")))</x:f>
      </x:c>
      <x:c r="AG78" s="177"/>
    </x:row>
    <x:row r="79">
      <x:c r="A79" s="175"/>
      <x:c r="B79" s="217"/>
      <x:c r="C79" s="176"/>
      <x:c r="D79" s="176"/>
      <x:c r="E79" s="223"/>
      <x:c r="F79" s="253"/>
      <x:c r="G79" s="223"/>
      <x:c r="H79" s="176"/>
      <x:c r="I79" s="223"/>
      <x:c r="J79" s="176"/>
      <x:c r="K79" s="223"/>
      <x:c r="L79" s="176"/>
      <x:c r="M79" s="223"/>
      <x:c r="N79" s="176"/>
      <x:c r="O79" s="223"/>
      <x:c r="P79" s="176"/>
      <x:c r="Q79" s="223"/>
      <x:c r="R79" s="241"/>
      <x:c r="S79" s="229" t="str">
        <x:f>IF(OR($E79="",$F79=""),"",$E79*$F79)</x:f>
      </x:c>
      <x:c r="T79" s="235" t="str">
        <x:f>IF($S79="","",$S79-IF($H79="Percentage",$S79*$I79,$I79)-IF($J79="Percentage",$S79*$K79,$K79))</x:f>
      </x:c>
      <x:c r="U79" s="235" t="str">
        <x:f>IF($T79="","",$T79-IF($L79="Percentage",$T79*$M79,$M79)-IF($N79="Percentage",$T79*$O79,$O79))</x:f>
      </x:c>
      <x:c r="V79" s="235" t="str">
        <x:f>IF(OR($G79="",$F79=""),"",$G79*$F79)</x:f>
      </x:c>
      <x:c r="W79" s="235" t="str">
        <x:f>IF($V79="","",$V79-IF($P79="Percentage",$V79*$Q79,$Q79))</x:f>
      </x:c>
      <x:c r="X79" s="235" t="str">
        <x:f>IF(OR($T79="",$V79=""),"",$T79-$V79)</x:f>
      </x:c>
      <x:c r="Y79" s="247" t="str">
        <x:f>IFERROR($X79/$T79,"")</x:f>
      </x:c>
      <x:c r="Z79" s="235" t="str">
        <x:f>IF(OR($U79="",$W79=""),"",$U79-$W79)</x:f>
      </x:c>
      <x:c r="AA79" s="247" t="str">
        <x:f>IFERROR($Z79/$U79,"")</x:f>
      </x:c>
      <x:c r="AB79" s="235" t="str">
        <x:f>IF(OR($S79="",$U79=""),"",$S79-$U79)</x:f>
      </x:c>
      <x:c r="AC79" s="247" t="str">
        <x:f>IFERROR($AB79/$S79,"")</x:f>
      </x:c>
      <x:c r="AD79" s="247" t="str">
        <x:f>IF(OR($Y79="",$AA79=""),"",$AA79-$Y79)</x:f>
      </x:c>
      <x:c r="AE79" s="199" t="str">
        <x:f>IF($A79="","",IF(IF($H79="Percentage",$S79*$I79,$I79)&gt;=MAX(IF($J79="Percentage",$S79*$K79,$K79),IF($L79="Percentage",$T79*$M79,$M79),IF($N79="Percentage",$T79*$O79,$O79)),"Customer discount",IF(IF($J79="Percentage",$S79*$K79,$K79)&gt;=MAX(IF($L79="Percentage",$T79*$M79,$M79),IF($N79="Percentage",$T79*$O79,$O79)),"Promotional discount",IF(IF($L79="Percentage",$T79*$M79,$M79)&gt;=IF($N79="Percentage",$T79*$O79,$O79),"Freight/service concession","Customer rebate"))))</x:f>
      </x:c>
      <x:c r="AF79" s="204" t="str">
        <x:f>IF($AA79="","",IF($R79="","No threshold set",IF($AA79&gt;=$R79,"Within configured threshold","Commercial review required")))</x:f>
      </x:c>
      <x:c r="AG79" s="177"/>
    </x:row>
    <x:row r="80">
      <x:c r="A80" s="175"/>
      <x:c r="B80" s="217"/>
      <x:c r="C80" s="176"/>
      <x:c r="D80" s="176"/>
      <x:c r="E80" s="223"/>
      <x:c r="F80" s="253"/>
      <x:c r="G80" s="223"/>
      <x:c r="H80" s="176"/>
      <x:c r="I80" s="223"/>
      <x:c r="J80" s="176"/>
      <x:c r="K80" s="223"/>
      <x:c r="L80" s="176"/>
      <x:c r="M80" s="223"/>
      <x:c r="N80" s="176"/>
      <x:c r="O80" s="223"/>
      <x:c r="P80" s="176"/>
      <x:c r="Q80" s="223"/>
      <x:c r="R80" s="241"/>
      <x:c r="S80" s="229" t="str">
        <x:f>IF(OR($E80="",$F80=""),"",$E80*$F80)</x:f>
      </x:c>
      <x:c r="T80" s="235" t="str">
        <x:f>IF($S80="","",$S80-IF($H80="Percentage",$S80*$I80,$I80)-IF($J80="Percentage",$S80*$K80,$K80))</x:f>
      </x:c>
      <x:c r="U80" s="235" t="str">
        <x:f>IF($T80="","",$T80-IF($L80="Percentage",$T80*$M80,$M80)-IF($N80="Percentage",$T80*$O80,$O80))</x:f>
      </x:c>
      <x:c r="V80" s="235" t="str">
        <x:f>IF(OR($G80="",$F80=""),"",$G80*$F80)</x:f>
      </x:c>
      <x:c r="W80" s="235" t="str">
        <x:f>IF($V80="","",$V80-IF($P80="Percentage",$V80*$Q80,$Q80))</x:f>
      </x:c>
      <x:c r="X80" s="235" t="str">
        <x:f>IF(OR($T80="",$V80=""),"",$T80-$V80)</x:f>
      </x:c>
      <x:c r="Y80" s="247" t="str">
        <x:f>IFERROR($X80/$T80,"")</x:f>
      </x:c>
      <x:c r="Z80" s="235" t="str">
        <x:f>IF(OR($U80="",$W80=""),"",$U80-$W80)</x:f>
      </x:c>
      <x:c r="AA80" s="247" t="str">
        <x:f>IFERROR($Z80/$U80,"")</x:f>
      </x:c>
      <x:c r="AB80" s="235" t="str">
        <x:f>IF(OR($S80="",$U80=""),"",$S80-$U80)</x:f>
      </x:c>
      <x:c r="AC80" s="247" t="str">
        <x:f>IFERROR($AB80/$S80,"")</x:f>
      </x:c>
      <x:c r="AD80" s="247" t="str">
        <x:f>IF(OR($Y80="",$AA80=""),"",$AA80-$Y80)</x:f>
      </x:c>
      <x:c r="AE80" s="199" t="str">
        <x:f>IF($A80="","",IF(IF($H80="Percentage",$S80*$I80,$I80)&gt;=MAX(IF($J80="Percentage",$S80*$K80,$K80),IF($L80="Percentage",$T80*$M80,$M80),IF($N80="Percentage",$T80*$O80,$O80)),"Customer discount",IF(IF($J80="Percentage",$S80*$K80,$K80)&gt;=MAX(IF($L80="Percentage",$T80*$M80,$M80),IF($N80="Percentage",$T80*$O80,$O80)),"Promotional discount",IF(IF($L80="Percentage",$T80*$M80,$M80)&gt;=IF($N80="Percentage",$T80*$O80,$O80),"Freight/service concession","Customer rebate"))))</x:f>
      </x:c>
      <x:c r="AF80" s="204" t="str">
        <x:f>IF($AA80="","",IF($R80="","No threshold set",IF($AA80&gt;=$R80,"Within configured threshold","Commercial review required")))</x:f>
      </x:c>
      <x:c r="AG80" s="177"/>
    </x:row>
    <x:row r="81">
      <x:c r="A81" s="175"/>
      <x:c r="B81" s="217"/>
      <x:c r="C81" s="176"/>
      <x:c r="D81" s="176"/>
      <x:c r="E81" s="223"/>
      <x:c r="F81" s="253"/>
      <x:c r="G81" s="223"/>
      <x:c r="H81" s="176"/>
      <x:c r="I81" s="223"/>
      <x:c r="J81" s="176"/>
      <x:c r="K81" s="223"/>
      <x:c r="L81" s="176"/>
      <x:c r="M81" s="223"/>
      <x:c r="N81" s="176"/>
      <x:c r="O81" s="223"/>
      <x:c r="P81" s="176"/>
      <x:c r="Q81" s="223"/>
      <x:c r="R81" s="241"/>
      <x:c r="S81" s="229" t="str">
        <x:f>IF(OR($E81="",$F81=""),"",$E81*$F81)</x:f>
      </x:c>
      <x:c r="T81" s="235" t="str">
        <x:f>IF($S81="","",$S81-IF($H81="Percentage",$S81*$I81,$I81)-IF($J81="Percentage",$S81*$K81,$K81))</x:f>
      </x:c>
      <x:c r="U81" s="235" t="str">
        <x:f>IF($T81="","",$T81-IF($L81="Percentage",$T81*$M81,$M81)-IF($N81="Percentage",$T81*$O81,$O81))</x:f>
      </x:c>
      <x:c r="V81" s="235" t="str">
        <x:f>IF(OR($G81="",$F81=""),"",$G81*$F81)</x:f>
      </x:c>
      <x:c r="W81" s="235" t="str">
        <x:f>IF($V81="","",$V81-IF($P81="Percentage",$V81*$Q81,$Q81))</x:f>
      </x:c>
      <x:c r="X81" s="235" t="str">
        <x:f>IF(OR($T81="",$V81=""),"",$T81-$V81)</x:f>
      </x:c>
      <x:c r="Y81" s="247" t="str">
        <x:f>IFERROR($X81/$T81,"")</x:f>
      </x:c>
      <x:c r="Z81" s="235" t="str">
        <x:f>IF(OR($U81="",$W81=""),"",$U81-$W81)</x:f>
      </x:c>
      <x:c r="AA81" s="247" t="str">
        <x:f>IFERROR($Z81/$U81,"")</x:f>
      </x:c>
      <x:c r="AB81" s="235" t="str">
        <x:f>IF(OR($S81="",$U81=""),"",$S81-$U81)</x:f>
      </x:c>
      <x:c r="AC81" s="247" t="str">
        <x:f>IFERROR($AB81/$S81,"")</x:f>
      </x:c>
      <x:c r="AD81" s="247" t="str">
        <x:f>IF(OR($Y81="",$AA81=""),"",$AA81-$Y81)</x:f>
      </x:c>
      <x:c r="AE81" s="199" t="str">
        <x:f>IF($A81="","",IF(IF($H81="Percentage",$S81*$I81,$I81)&gt;=MAX(IF($J81="Percentage",$S81*$K81,$K81),IF($L81="Percentage",$T81*$M81,$M81),IF($N81="Percentage",$T81*$O81,$O81)),"Customer discount",IF(IF($J81="Percentage",$S81*$K81,$K81)&gt;=MAX(IF($L81="Percentage",$T81*$M81,$M81),IF($N81="Percentage",$T81*$O81,$O81)),"Promotional discount",IF(IF($L81="Percentage",$T81*$M81,$M81)&gt;=IF($N81="Percentage",$T81*$O81,$O81),"Freight/service concession","Customer rebate"))))</x:f>
      </x:c>
      <x:c r="AF81" s="204" t="str">
        <x:f>IF($AA81="","",IF($R81="","No threshold set",IF($AA81&gt;=$R81,"Within configured threshold","Commercial review required")))</x:f>
      </x:c>
      <x:c r="AG81" s="177"/>
    </x:row>
    <x:row r="82">
      <x:c r="A82" s="175"/>
      <x:c r="B82" s="217"/>
      <x:c r="C82" s="176"/>
      <x:c r="D82" s="176"/>
      <x:c r="E82" s="223"/>
      <x:c r="F82" s="253"/>
      <x:c r="G82" s="223"/>
      <x:c r="H82" s="176"/>
      <x:c r="I82" s="223"/>
      <x:c r="J82" s="176"/>
      <x:c r="K82" s="223"/>
      <x:c r="L82" s="176"/>
      <x:c r="M82" s="223"/>
      <x:c r="N82" s="176"/>
      <x:c r="O82" s="223"/>
      <x:c r="P82" s="176"/>
      <x:c r="Q82" s="223"/>
      <x:c r="R82" s="241"/>
      <x:c r="S82" s="229" t="str">
        <x:f>IF(OR($E82="",$F82=""),"",$E82*$F82)</x:f>
      </x:c>
      <x:c r="T82" s="235" t="str">
        <x:f>IF($S82="","",$S82-IF($H82="Percentage",$S82*$I82,$I82)-IF($J82="Percentage",$S82*$K82,$K82))</x:f>
      </x:c>
      <x:c r="U82" s="235" t="str">
        <x:f>IF($T82="","",$T82-IF($L82="Percentage",$T82*$M82,$M82)-IF($N82="Percentage",$T82*$O82,$O82))</x:f>
      </x:c>
      <x:c r="V82" s="235" t="str">
        <x:f>IF(OR($G82="",$F82=""),"",$G82*$F82)</x:f>
      </x:c>
      <x:c r="W82" s="235" t="str">
        <x:f>IF($V82="","",$V82-IF($P82="Percentage",$V82*$Q82,$Q82))</x:f>
      </x:c>
      <x:c r="X82" s="235" t="str">
        <x:f>IF(OR($T82="",$V82=""),"",$T82-$V82)</x:f>
      </x:c>
      <x:c r="Y82" s="247" t="str">
        <x:f>IFERROR($X82/$T82,"")</x:f>
      </x:c>
      <x:c r="Z82" s="235" t="str">
        <x:f>IF(OR($U82="",$W82=""),"",$U82-$W82)</x:f>
      </x:c>
      <x:c r="AA82" s="247" t="str">
        <x:f>IFERROR($Z82/$U82,"")</x:f>
      </x:c>
      <x:c r="AB82" s="235" t="str">
        <x:f>IF(OR($S82="",$U82=""),"",$S82-$U82)</x:f>
      </x:c>
      <x:c r="AC82" s="247" t="str">
        <x:f>IFERROR($AB82/$S82,"")</x:f>
      </x:c>
      <x:c r="AD82" s="247" t="str">
        <x:f>IF(OR($Y82="",$AA82=""),"",$AA82-$Y82)</x:f>
      </x:c>
      <x:c r="AE82" s="199" t="str">
        <x:f>IF($A82="","",IF(IF($H82="Percentage",$S82*$I82,$I82)&gt;=MAX(IF($J82="Percentage",$S82*$K82,$K82),IF($L82="Percentage",$T82*$M82,$M82),IF($N82="Percentage",$T82*$O82,$O82)),"Customer discount",IF(IF($J82="Percentage",$S82*$K82,$K82)&gt;=MAX(IF($L82="Percentage",$T82*$M82,$M82),IF($N82="Percentage",$T82*$O82,$O82)),"Promotional discount",IF(IF($L82="Percentage",$T82*$M82,$M82)&gt;=IF($N82="Percentage",$T82*$O82,$O82),"Freight/service concession","Customer rebate"))))</x:f>
      </x:c>
      <x:c r="AF82" s="204" t="str">
        <x:f>IF($AA82="","",IF($R82="","No threshold set",IF($AA82&gt;=$R82,"Within configured threshold","Commercial review required")))</x:f>
      </x:c>
      <x:c r="AG82" s="177"/>
    </x:row>
    <x:row r="83">
      <x:c r="A83" s="175"/>
      <x:c r="B83" s="217"/>
      <x:c r="C83" s="176"/>
      <x:c r="D83" s="176"/>
      <x:c r="E83" s="223"/>
      <x:c r="F83" s="253"/>
      <x:c r="G83" s="223"/>
      <x:c r="H83" s="176"/>
      <x:c r="I83" s="223"/>
      <x:c r="J83" s="176"/>
      <x:c r="K83" s="223"/>
      <x:c r="L83" s="176"/>
      <x:c r="M83" s="223"/>
      <x:c r="N83" s="176"/>
      <x:c r="O83" s="223"/>
      <x:c r="P83" s="176"/>
      <x:c r="Q83" s="223"/>
      <x:c r="R83" s="241"/>
      <x:c r="S83" s="229" t="str">
        <x:f>IF(OR($E83="",$F83=""),"",$E83*$F83)</x:f>
      </x:c>
      <x:c r="T83" s="235" t="str">
        <x:f>IF($S83="","",$S83-IF($H83="Percentage",$S83*$I83,$I83)-IF($J83="Percentage",$S83*$K83,$K83))</x:f>
      </x:c>
      <x:c r="U83" s="235" t="str">
        <x:f>IF($T83="","",$T83-IF($L83="Percentage",$T83*$M83,$M83)-IF($N83="Percentage",$T83*$O83,$O83))</x:f>
      </x:c>
      <x:c r="V83" s="235" t="str">
        <x:f>IF(OR($G83="",$F83=""),"",$G83*$F83)</x:f>
      </x:c>
      <x:c r="W83" s="235" t="str">
        <x:f>IF($V83="","",$V83-IF($P83="Percentage",$V83*$Q83,$Q83))</x:f>
      </x:c>
      <x:c r="X83" s="235" t="str">
        <x:f>IF(OR($T83="",$V83=""),"",$T83-$V83)</x:f>
      </x:c>
      <x:c r="Y83" s="247" t="str">
        <x:f>IFERROR($X83/$T83,"")</x:f>
      </x:c>
      <x:c r="Z83" s="235" t="str">
        <x:f>IF(OR($U83="",$W83=""),"",$U83-$W83)</x:f>
      </x:c>
      <x:c r="AA83" s="247" t="str">
        <x:f>IFERROR($Z83/$U83,"")</x:f>
      </x:c>
      <x:c r="AB83" s="235" t="str">
        <x:f>IF(OR($S83="",$U83=""),"",$S83-$U83)</x:f>
      </x:c>
      <x:c r="AC83" s="247" t="str">
        <x:f>IFERROR($AB83/$S83,"")</x:f>
      </x:c>
      <x:c r="AD83" s="247" t="str">
        <x:f>IF(OR($Y83="",$AA83=""),"",$AA83-$Y83)</x:f>
      </x:c>
      <x:c r="AE83" s="199" t="str">
        <x:f>IF($A83="","",IF(IF($H83="Percentage",$S83*$I83,$I83)&gt;=MAX(IF($J83="Percentage",$S83*$K83,$K83),IF($L83="Percentage",$T83*$M83,$M83),IF($N83="Percentage",$T83*$O83,$O83)),"Customer discount",IF(IF($J83="Percentage",$S83*$K83,$K83)&gt;=MAX(IF($L83="Percentage",$T83*$M83,$M83),IF($N83="Percentage",$T83*$O83,$O83)),"Promotional discount",IF(IF($L83="Percentage",$T83*$M83,$M83)&gt;=IF($N83="Percentage",$T83*$O83,$O83),"Freight/service concession","Customer rebate"))))</x:f>
      </x:c>
      <x:c r="AF83" s="204" t="str">
        <x:f>IF($AA83="","",IF($R83="","No threshold set",IF($AA83&gt;=$R83,"Within configured threshold","Commercial review required")))</x:f>
      </x:c>
      <x:c r="AG83" s="177"/>
    </x:row>
    <x:row r="84">
      <x:c r="A84" s="175"/>
      <x:c r="B84" s="217"/>
      <x:c r="C84" s="176"/>
      <x:c r="D84" s="176"/>
      <x:c r="E84" s="223"/>
      <x:c r="F84" s="253"/>
      <x:c r="G84" s="223"/>
      <x:c r="H84" s="176"/>
      <x:c r="I84" s="223"/>
      <x:c r="J84" s="176"/>
      <x:c r="K84" s="223"/>
      <x:c r="L84" s="176"/>
      <x:c r="M84" s="223"/>
      <x:c r="N84" s="176"/>
      <x:c r="O84" s="223"/>
      <x:c r="P84" s="176"/>
      <x:c r="Q84" s="223"/>
      <x:c r="R84" s="241"/>
      <x:c r="S84" s="229" t="str">
        <x:f>IF(OR($E84="",$F84=""),"",$E84*$F84)</x:f>
      </x:c>
      <x:c r="T84" s="235" t="str">
        <x:f>IF($S84="","",$S84-IF($H84="Percentage",$S84*$I84,$I84)-IF($J84="Percentage",$S84*$K84,$K84))</x:f>
      </x:c>
      <x:c r="U84" s="235" t="str">
        <x:f>IF($T84="","",$T84-IF($L84="Percentage",$T84*$M84,$M84)-IF($N84="Percentage",$T84*$O84,$O84))</x:f>
      </x:c>
      <x:c r="V84" s="235" t="str">
        <x:f>IF(OR($G84="",$F84=""),"",$G84*$F84)</x:f>
      </x:c>
      <x:c r="W84" s="235" t="str">
        <x:f>IF($V84="","",$V84-IF($P84="Percentage",$V84*$Q84,$Q84))</x:f>
      </x:c>
      <x:c r="X84" s="235" t="str">
        <x:f>IF(OR($T84="",$V84=""),"",$T84-$V84)</x:f>
      </x:c>
      <x:c r="Y84" s="247" t="str">
        <x:f>IFERROR($X84/$T84,"")</x:f>
      </x:c>
      <x:c r="Z84" s="235" t="str">
        <x:f>IF(OR($U84="",$W84=""),"",$U84-$W84)</x:f>
      </x:c>
      <x:c r="AA84" s="247" t="str">
        <x:f>IFERROR($Z84/$U84,"")</x:f>
      </x:c>
      <x:c r="AB84" s="235" t="str">
        <x:f>IF(OR($S84="",$U84=""),"",$S84-$U84)</x:f>
      </x:c>
      <x:c r="AC84" s="247" t="str">
        <x:f>IFERROR($AB84/$S84,"")</x:f>
      </x:c>
      <x:c r="AD84" s="247" t="str">
        <x:f>IF(OR($Y84="",$AA84=""),"",$AA84-$Y84)</x:f>
      </x:c>
      <x:c r="AE84" s="199" t="str">
        <x:f>IF($A84="","",IF(IF($H84="Percentage",$S84*$I84,$I84)&gt;=MAX(IF($J84="Percentage",$S84*$K84,$K84),IF($L84="Percentage",$T84*$M84,$M84),IF($N84="Percentage",$T84*$O84,$O84)),"Customer discount",IF(IF($J84="Percentage",$S84*$K84,$K84)&gt;=MAX(IF($L84="Percentage",$T84*$M84,$M84),IF($N84="Percentage",$T84*$O84,$O84)),"Promotional discount",IF(IF($L84="Percentage",$T84*$M84,$M84)&gt;=IF($N84="Percentage",$T84*$O84,$O84),"Freight/service concession","Customer rebate"))))</x:f>
      </x:c>
      <x:c r="AF84" s="204" t="str">
        <x:f>IF($AA84="","",IF($R84="","No threshold set",IF($AA84&gt;=$R84,"Within configured threshold","Commercial review required")))</x:f>
      </x:c>
      <x:c r="AG84" s="177"/>
    </x:row>
    <x:row r="85">
      <x:c r="A85" s="175"/>
      <x:c r="B85" s="217"/>
      <x:c r="C85" s="176"/>
      <x:c r="D85" s="176"/>
      <x:c r="E85" s="223"/>
      <x:c r="F85" s="253"/>
      <x:c r="G85" s="223"/>
      <x:c r="H85" s="176"/>
      <x:c r="I85" s="223"/>
      <x:c r="J85" s="176"/>
      <x:c r="K85" s="223"/>
      <x:c r="L85" s="176"/>
      <x:c r="M85" s="223"/>
      <x:c r="N85" s="176"/>
      <x:c r="O85" s="223"/>
      <x:c r="P85" s="176"/>
      <x:c r="Q85" s="223"/>
      <x:c r="R85" s="241"/>
      <x:c r="S85" s="229" t="str">
        <x:f>IF(OR($E85="",$F85=""),"",$E85*$F85)</x:f>
      </x:c>
      <x:c r="T85" s="235" t="str">
        <x:f>IF($S85="","",$S85-IF($H85="Percentage",$S85*$I85,$I85)-IF($J85="Percentage",$S85*$K85,$K85))</x:f>
      </x:c>
      <x:c r="U85" s="235" t="str">
        <x:f>IF($T85="","",$T85-IF($L85="Percentage",$T85*$M85,$M85)-IF($N85="Percentage",$T85*$O85,$O85))</x:f>
      </x:c>
      <x:c r="V85" s="235" t="str">
        <x:f>IF(OR($G85="",$F85=""),"",$G85*$F85)</x:f>
      </x:c>
      <x:c r="W85" s="235" t="str">
        <x:f>IF($V85="","",$V85-IF($P85="Percentage",$V85*$Q85,$Q85))</x:f>
      </x:c>
      <x:c r="X85" s="235" t="str">
        <x:f>IF(OR($T85="",$V85=""),"",$T85-$V85)</x:f>
      </x:c>
      <x:c r="Y85" s="247" t="str">
        <x:f>IFERROR($X85/$T85,"")</x:f>
      </x:c>
      <x:c r="Z85" s="235" t="str">
        <x:f>IF(OR($U85="",$W85=""),"",$U85-$W85)</x:f>
      </x:c>
      <x:c r="AA85" s="247" t="str">
        <x:f>IFERROR($Z85/$U85,"")</x:f>
      </x:c>
      <x:c r="AB85" s="235" t="str">
        <x:f>IF(OR($S85="",$U85=""),"",$S85-$U85)</x:f>
      </x:c>
      <x:c r="AC85" s="247" t="str">
        <x:f>IFERROR($AB85/$S85,"")</x:f>
      </x:c>
      <x:c r="AD85" s="247" t="str">
        <x:f>IF(OR($Y85="",$AA85=""),"",$AA85-$Y85)</x:f>
      </x:c>
      <x:c r="AE85" s="199" t="str">
        <x:f>IF($A85="","",IF(IF($H85="Percentage",$S85*$I85,$I85)&gt;=MAX(IF($J85="Percentage",$S85*$K85,$K85),IF($L85="Percentage",$T85*$M85,$M85),IF($N85="Percentage",$T85*$O85,$O85)),"Customer discount",IF(IF($J85="Percentage",$S85*$K85,$K85)&gt;=MAX(IF($L85="Percentage",$T85*$M85,$M85),IF($N85="Percentage",$T85*$O85,$O85)),"Promotional discount",IF(IF($L85="Percentage",$T85*$M85,$M85)&gt;=IF($N85="Percentage",$T85*$O85,$O85),"Freight/service concession","Customer rebate"))))</x:f>
      </x:c>
      <x:c r="AF85" s="204" t="str">
        <x:f>IF($AA85="","",IF($R85="","No threshold set",IF($AA85&gt;=$R85,"Within configured threshold","Commercial review required")))</x:f>
      </x:c>
      <x:c r="AG85" s="177"/>
    </x:row>
    <x:row r="86">
      <x:c r="A86" s="175"/>
      <x:c r="B86" s="217"/>
      <x:c r="C86" s="176"/>
      <x:c r="D86" s="176"/>
      <x:c r="E86" s="223"/>
      <x:c r="F86" s="253"/>
      <x:c r="G86" s="223"/>
      <x:c r="H86" s="176"/>
      <x:c r="I86" s="223"/>
      <x:c r="J86" s="176"/>
      <x:c r="K86" s="223"/>
      <x:c r="L86" s="176"/>
      <x:c r="M86" s="223"/>
      <x:c r="N86" s="176"/>
      <x:c r="O86" s="223"/>
      <x:c r="P86" s="176"/>
      <x:c r="Q86" s="223"/>
      <x:c r="R86" s="241"/>
      <x:c r="S86" s="229" t="str">
        <x:f>IF(OR($E86="",$F86=""),"",$E86*$F86)</x:f>
      </x:c>
      <x:c r="T86" s="235" t="str">
        <x:f>IF($S86="","",$S86-IF($H86="Percentage",$S86*$I86,$I86)-IF($J86="Percentage",$S86*$K86,$K86))</x:f>
      </x:c>
      <x:c r="U86" s="235" t="str">
        <x:f>IF($T86="","",$T86-IF($L86="Percentage",$T86*$M86,$M86)-IF($N86="Percentage",$T86*$O86,$O86))</x:f>
      </x:c>
      <x:c r="V86" s="235" t="str">
        <x:f>IF(OR($G86="",$F86=""),"",$G86*$F86)</x:f>
      </x:c>
      <x:c r="W86" s="235" t="str">
        <x:f>IF($V86="","",$V86-IF($P86="Percentage",$V86*$Q86,$Q86))</x:f>
      </x:c>
      <x:c r="X86" s="235" t="str">
        <x:f>IF(OR($T86="",$V86=""),"",$T86-$V86)</x:f>
      </x:c>
      <x:c r="Y86" s="247" t="str">
        <x:f>IFERROR($X86/$T86,"")</x:f>
      </x:c>
      <x:c r="Z86" s="235" t="str">
        <x:f>IF(OR($U86="",$W86=""),"",$U86-$W86)</x:f>
      </x:c>
      <x:c r="AA86" s="247" t="str">
        <x:f>IFERROR($Z86/$U86,"")</x:f>
      </x:c>
      <x:c r="AB86" s="235" t="str">
        <x:f>IF(OR($S86="",$U86=""),"",$S86-$U86)</x:f>
      </x:c>
      <x:c r="AC86" s="247" t="str">
        <x:f>IFERROR($AB86/$S86,"")</x:f>
      </x:c>
      <x:c r="AD86" s="247" t="str">
        <x:f>IF(OR($Y86="",$AA86=""),"",$AA86-$Y86)</x:f>
      </x:c>
      <x:c r="AE86" s="199" t="str">
        <x:f>IF($A86="","",IF(IF($H86="Percentage",$S86*$I86,$I86)&gt;=MAX(IF($J86="Percentage",$S86*$K86,$K86),IF($L86="Percentage",$T86*$M86,$M86),IF($N86="Percentage",$T86*$O86,$O86)),"Customer discount",IF(IF($J86="Percentage",$S86*$K86,$K86)&gt;=MAX(IF($L86="Percentage",$T86*$M86,$M86),IF($N86="Percentage",$T86*$O86,$O86)),"Promotional discount",IF(IF($L86="Percentage",$T86*$M86,$M86)&gt;=IF($N86="Percentage",$T86*$O86,$O86),"Freight/service concession","Customer rebate"))))</x:f>
      </x:c>
      <x:c r="AF86" s="204" t="str">
        <x:f>IF($AA86="","",IF($R86="","No threshold set",IF($AA86&gt;=$R86,"Within configured threshold","Commercial review required")))</x:f>
      </x:c>
      <x:c r="AG86" s="177"/>
    </x:row>
    <x:row r="87">
      <x:c r="A87" s="175"/>
      <x:c r="B87" s="217"/>
      <x:c r="C87" s="176"/>
      <x:c r="D87" s="176"/>
      <x:c r="E87" s="223"/>
      <x:c r="F87" s="253"/>
      <x:c r="G87" s="223"/>
      <x:c r="H87" s="176"/>
      <x:c r="I87" s="223"/>
      <x:c r="J87" s="176"/>
      <x:c r="K87" s="223"/>
      <x:c r="L87" s="176"/>
      <x:c r="M87" s="223"/>
      <x:c r="N87" s="176"/>
      <x:c r="O87" s="223"/>
      <x:c r="P87" s="176"/>
      <x:c r="Q87" s="223"/>
      <x:c r="R87" s="241"/>
      <x:c r="S87" s="229" t="str">
        <x:f>IF(OR($E87="",$F87=""),"",$E87*$F87)</x:f>
      </x:c>
      <x:c r="T87" s="235" t="str">
        <x:f>IF($S87="","",$S87-IF($H87="Percentage",$S87*$I87,$I87)-IF($J87="Percentage",$S87*$K87,$K87))</x:f>
      </x:c>
      <x:c r="U87" s="235" t="str">
        <x:f>IF($T87="","",$T87-IF($L87="Percentage",$T87*$M87,$M87)-IF($N87="Percentage",$T87*$O87,$O87))</x:f>
      </x:c>
      <x:c r="V87" s="235" t="str">
        <x:f>IF(OR($G87="",$F87=""),"",$G87*$F87)</x:f>
      </x:c>
      <x:c r="W87" s="235" t="str">
        <x:f>IF($V87="","",$V87-IF($P87="Percentage",$V87*$Q87,$Q87))</x:f>
      </x:c>
      <x:c r="X87" s="235" t="str">
        <x:f>IF(OR($T87="",$V87=""),"",$T87-$V87)</x:f>
      </x:c>
      <x:c r="Y87" s="247" t="str">
        <x:f>IFERROR($X87/$T87,"")</x:f>
      </x:c>
      <x:c r="Z87" s="235" t="str">
        <x:f>IF(OR($U87="",$W87=""),"",$U87-$W87)</x:f>
      </x:c>
      <x:c r="AA87" s="247" t="str">
        <x:f>IFERROR($Z87/$U87,"")</x:f>
      </x:c>
      <x:c r="AB87" s="235" t="str">
        <x:f>IF(OR($S87="",$U87=""),"",$S87-$U87)</x:f>
      </x:c>
      <x:c r="AC87" s="247" t="str">
        <x:f>IFERROR($AB87/$S87,"")</x:f>
      </x:c>
      <x:c r="AD87" s="247" t="str">
        <x:f>IF(OR($Y87="",$AA87=""),"",$AA87-$Y87)</x:f>
      </x:c>
      <x:c r="AE87" s="199" t="str">
        <x:f>IF($A87="","",IF(IF($H87="Percentage",$S87*$I87,$I87)&gt;=MAX(IF($J87="Percentage",$S87*$K87,$K87),IF($L87="Percentage",$T87*$M87,$M87),IF($N87="Percentage",$T87*$O87,$O87)),"Customer discount",IF(IF($J87="Percentage",$S87*$K87,$K87)&gt;=MAX(IF($L87="Percentage",$T87*$M87,$M87),IF($N87="Percentage",$T87*$O87,$O87)),"Promotional discount",IF(IF($L87="Percentage",$T87*$M87,$M87)&gt;=IF($N87="Percentage",$T87*$O87,$O87),"Freight/service concession","Customer rebate"))))</x:f>
      </x:c>
      <x:c r="AF87" s="204" t="str">
        <x:f>IF($AA87="","",IF($R87="","No threshold set",IF($AA87&gt;=$R87,"Within configured threshold","Commercial review required")))</x:f>
      </x:c>
      <x:c r="AG87" s="177"/>
    </x:row>
    <x:row r="88">
      <x:c r="A88" s="175"/>
      <x:c r="B88" s="217"/>
      <x:c r="C88" s="176"/>
      <x:c r="D88" s="176"/>
      <x:c r="E88" s="223"/>
      <x:c r="F88" s="253"/>
      <x:c r="G88" s="223"/>
      <x:c r="H88" s="176"/>
      <x:c r="I88" s="223"/>
      <x:c r="J88" s="176"/>
      <x:c r="K88" s="223"/>
      <x:c r="L88" s="176"/>
      <x:c r="M88" s="223"/>
      <x:c r="N88" s="176"/>
      <x:c r="O88" s="223"/>
      <x:c r="P88" s="176"/>
      <x:c r="Q88" s="223"/>
      <x:c r="R88" s="241"/>
      <x:c r="S88" s="229" t="str">
        <x:f>IF(OR($E88="",$F88=""),"",$E88*$F88)</x:f>
      </x:c>
      <x:c r="T88" s="235" t="str">
        <x:f>IF($S88="","",$S88-IF($H88="Percentage",$S88*$I88,$I88)-IF($J88="Percentage",$S88*$K88,$K88))</x:f>
      </x:c>
      <x:c r="U88" s="235" t="str">
        <x:f>IF($T88="","",$T88-IF($L88="Percentage",$T88*$M88,$M88)-IF($N88="Percentage",$T88*$O88,$O88))</x:f>
      </x:c>
      <x:c r="V88" s="235" t="str">
        <x:f>IF(OR($G88="",$F88=""),"",$G88*$F88)</x:f>
      </x:c>
      <x:c r="W88" s="235" t="str">
        <x:f>IF($V88="","",$V88-IF($P88="Percentage",$V88*$Q88,$Q88))</x:f>
      </x:c>
      <x:c r="X88" s="235" t="str">
        <x:f>IF(OR($T88="",$V88=""),"",$T88-$V88)</x:f>
      </x:c>
      <x:c r="Y88" s="247" t="str">
        <x:f>IFERROR($X88/$T88,"")</x:f>
      </x:c>
      <x:c r="Z88" s="235" t="str">
        <x:f>IF(OR($U88="",$W88=""),"",$U88-$W88)</x:f>
      </x:c>
      <x:c r="AA88" s="247" t="str">
        <x:f>IFERROR($Z88/$U88,"")</x:f>
      </x:c>
      <x:c r="AB88" s="235" t="str">
        <x:f>IF(OR($S88="",$U88=""),"",$S88-$U88)</x:f>
      </x:c>
      <x:c r="AC88" s="247" t="str">
        <x:f>IFERROR($AB88/$S88,"")</x:f>
      </x:c>
      <x:c r="AD88" s="247" t="str">
        <x:f>IF(OR($Y88="",$AA88=""),"",$AA88-$Y88)</x:f>
      </x:c>
      <x:c r="AE88" s="199" t="str">
        <x:f>IF($A88="","",IF(IF($H88="Percentage",$S88*$I88,$I88)&gt;=MAX(IF($J88="Percentage",$S88*$K88,$K88),IF($L88="Percentage",$T88*$M88,$M88),IF($N88="Percentage",$T88*$O88,$O88)),"Customer discount",IF(IF($J88="Percentage",$S88*$K88,$K88)&gt;=MAX(IF($L88="Percentage",$T88*$M88,$M88),IF($N88="Percentage",$T88*$O88,$O88)),"Promotional discount",IF(IF($L88="Percentage",$T88*$M88,$M88)&gt;=IF($N88="Percentage",$T88*$O88,$O88),"Freight/service concession","Customer rebate"))))</x:f>
      </x:c>
      <x:c r="AF88" s="204" t="str">
        <x:f>IF($AA88="","",IF($R88="","No threshold set",IF($AA88&gt;=$R88,"Within configured threshold","Commercial review required")))</x:f>
      </x:c>
      <x:c r="AG88" s="177"/>
    </x:row>
    <x:row r="89">
      <x:c r="A89" s="175"/>
      <x:c r="B89" s="217"/>
      <x:c r="C89" s="176"/>
      <x:c r="D89" s="176"/>
      <x:c r="E89" s="223"/>
      <x:c r="F89" s="253"/>
      <x:c r="G89" s="223"/>
      <x:c r="H89" s="176"/>
      <x:c r="I89" s="223"/>
      <x:c r="J89" s="176"/>
      <x:c r="K89" s="223"/>
      <x:c r="L89" s="176"/>
      <x:c r="M89" s="223"/>
      <x:c r="N89" s="176"/>
      <x:c r="O89" s="223"/>
      <x:c r="P89" s="176"/>
      <x:c r="Q89" s="223"/>
      <x:c r="R89" s="241"/>
      <x:c r="S89" s="229" t="str">
        <x:f>IF(OR($E89="",$F89=""),"",$E89*$F89)</x:f>
      </x:c>
      <x:c r="T89" s="235" t="str">
        <x:f>IF($S89="","",$S89-IF($H89="Percentage",$S89*$I89,$I89)-IF($J89="Percentage",$S89*$K89,$K89))</x:f>
      </x:c>
      <x:c r="U89" s="235" t="str">
        <x:f>IF($T89="","",$T89-IF($L89="Percentage",$T89*$M89,$M89)-IF($N89="Percentage",$T89*$O89,$O89))</x:f>
      </x:c>
      <x:c r="V89" s="235" t="str">
        <x:f>IF(OR($G89="",$F89=""),"",$G89*$F89)</x:f>
      </x:c>
      <x:c r="W89" s="235" t="str">
        <x:f>IF($V89="","",$V89-IF($P89="Percentage",$V89*$Q89,$Q89))</x:f>
      </x:c>
      <x:c r="X89" s="235" t="str">
        <x:f>IF(OR($T89="",$V89=""),"",$T89-$V89)</x:f>
      </x:c>
      <x:c r="Y89" s="247" t="str">
        <x:f>IFERROR($X89/$T89,"")</x:f>
      </x:c>
      <x:c r="Z89" s="235" t="str">
        <x:f>IF(OR($U89="",$W89=""),"",$U89-$W89)</x:f>
      </x:c>
      <x:c r="AA89" s="247" t="str">
        <x:f>IFERROR($Z89/$U89,"")</x:f>
      </x:c>
      <x:c r="AB89" s="235" t="str">
        <x:f>IF(OR($S89="",$U89=""),"",$S89-$U89)</x:f>
      </x:c>
      <x:c r="AC89" s="247" t="str">
        <x:f>IFERROR($AB89/$S89,"")</x:f>
      </x:c>
      <x:c r="AD89" s="247" t="str">
        <x:f>IF(OR($Y89="",$AA89=""),"",$AA89-$Y89)</x:f>
      </x:c>
      <x:c r="AE89" s="199" t="str">
        <x:f>IF($A89="","",IF(IF($H89="Percentage",$S89*$I89,$I89)&gt;=MAX(IF($J89="Percentage",$S89*$K89,$K89),IF($L89="Percentage",$T89*$M89,$M89),IF($N89="Percentage",$T89*$O89,$O89)),"Customer discount",IF(IF($J89="Percentage",$S89*$K89,$K89)&gt;=MAX(IF($L89="Percentage",$T89*$M89,$M89),IF($N89="Percentage",$T89*$O89,$O89)),"Promotional discount",IF(IF($L89="Percentage",$T89*$M89,$M89)&gt;=IF($N89="Percentage",$T89*$O89,$O89),"Freight/service concession","Customer rebate"))))</x:f>
      </x:c>
      <x:c r="AF89" s="204" t="str">
        <x:f>IF($AA89="","",IF($R89="","No threshold set",IF($AA89&gt;=$R89,"Within configured threshold","Commercial review required")))</x:f>
      </x:c>
      <x:c r="AG89" s="177"/>
    </x:row>
    <x:row r="90">
      <x:c r="A90" s="175"/>
      <x:c r="B90" s="217"/>
      <x:c r="C90" s="176"/>
      <x:c r="D90" s="176"/>
      <x:c r="E90" s="223"/>
      <x:c r="F90" s="253"/>
      <x:c r="G90" s="223"/>
      <x:c r="H90" s="176"/>
      <x:c r="I90" s="223"/>
      <x:c r="J90" s="176"/>
      <x:c r="K90" s="223"/>
      <x:c r="L90" s="176"/>
      <x:c r="M90" s="223"/>
      <x:c r="N90" s="176"/>
      <x:c r="O90" s="223"/>
      <x:c r="P90" s="176"/>
      <x:c r="Q90" s="223"/>
      <x:c r="R90" s="241"/>
      <x:c r="S90" s="229" t="str">
        <x:f>IF(OR($E90="",$F90=""),"",$E90*$F90)</x:f>
      </x:c>
      <x:c r="T90" s="235" t="str">
        <x:f>IF($S90="","",$S90-IF($H90="Percentage",$S90*$I90,$I90)-IF($J90="Percentage",$S90*$K90,$K90))</x:f>
      </x:c>
      <x:c r="U90" s="235" t="str">
        <x:f>IF($T90="","",$T90-IF($L90="Percentage",$T90*$M90,$M90)-IF($N90="Percentage",$T90*$O90,$O90))</x:f>
      </x:c>
      <x:c r="V90" s="235" t="str">
        <x:f>IF(OR($G90="",$F90=""),"",$G90*$F90)</x:f>
      </x:c>
      <x:c r="W90" s="235" t="str">
        <x:f>IF($V90="","",$V90-IF($P90="Percentage",$V90*$Q90,$Q90))</x:f>
      </x:c>
      <x:c r="X90" s="235" t="str">
        <x:f>IF(OR($T90="",$V90=""),"",$T90-$V90)</x:f>
      </x:c>
      <x:c r="Y90" s="247" t="str">
        <x:f>IFERROR($X90/$T90,"")</x:f>
      </x:c>
      <x:c r="Z90" s="235" t="str">
        <x:f>IF(OR($U90="",$W90=""),"",$U90-$W90)</x:f>
      </x:c>
      <x:c r="AA90" s="247" t="str">
        <x:f>IFERROR($Z90/$U90,"")</x:f>
      </x:c>
      <x:c r="AB90" s="235" t="str">
        <x:f>IF(OR($S90="",$U90=""),"",$S90-$U90)</x:f>
      </x:c>
      <x:c r="AC90" s="247" t="str">
        <x:f>IFERROR($AB90/$S90,"")</x:f>
      </x:c>
      <x:c r="AD90" s="247" t="str">
        <x:f>IF(OR($Y90="",$AA90=""),"",$AA90-$Y90)</x:f>
      </x:c>
      <x:c r="AE90" s="199" t="str">
        <x:f>IF($A90="","",IF(IF($H90="Percentage",$S90*$I90,$I90)&gt;=MAX(IF($J90="Percentage",$S90*$K90,$K90),IF($L90="Percentage",$T90*$M90,$M90),IF($N90="Percentage",$T90*$O90,$O90)),"Customer discount",IF(IF($J90="Percentage",$S90*$K90,$K90)&gt;=MAX(IF($L90="Percentage",$T90*$M90,$M90),IF($N90="Percentage",$T90*$O90,$O90)),"Promotional discount",IF(IF($L90="Percentage",$T90*$M90,$M90)&gt;=IF($N90="Percentage",$T90*$O90,$O90),"Freight/service concession","Customer rebate"))))</x:f>
      </x:c>
      <x:c r="AF90" s="204" t="str">
        <x:f>IF($AA90="","",IF($R90="","No threshold set",IF($AA90&gt;=$R90,"Within configured threshold","Commercial review required")))</x:f>
      </x:c>
      <x:c r="AG90" s="177"/>
    </x:row>
    <x:row r="91">
      <x:c r="A91" s="175"/>
      <x:c r="B91" s="217"/>
      <x:c r="C91" s="176"/>
      <x:c r="D91" s="176"/>
      <x:c r="E91" s="223"/>
      <x:c r="F91" s="253"/>
      <x:c r="G91" s="223"/>
      <x:c r="H91" s="176"/>
      <x:c r="I91" s="223"/>
      <x:c r="J91" s="176"/>
      <x:c r="K91" s="223"/>
      <x:c r="L91" s="176"/>
      <x:c r="M91" s="223"/>
      <x:c r="N91" s="176"/>
      <x:c r="O91" s="223"/>
      <x:c r="P91" s="176"/>
      <x:c r="Q91" s="223"/>
      <x:c r="R91" s="241"/>
      <x:c r="S91" s="229" t="str">
        <x:f>IF(OR($E91="",$F91=""),"",$E91*$F91)</x:f>
      </x:c>
      <x:c r="T91" s="235" t="str">
        <x:f>IF($S91="","",$S91-IF($H91="Percentage",$S91*$I91,$I91)-IF($J91="Percentage",$S91*$K91,$K91))</x:f>
      </x:c>
      <x:c r="U91" s="235" t="str">
        <x:f>IF($T91="","",$T91-IF($L91="Percentage",$T91*$M91,$M91)-IF($N91="Percentage",$T91*$O91,$O91))</x:f>
      </x:c>
      <x:c r="V91" s="235" t="str">
        <x:f>IF(OR($G91="",$F91=""),"",$G91*$F91)</x:f>
      </x:c>
      <x:c r="W91" s="235" t="str">
        <x:f>IF($V91="","",$V91-IF($P91="Percentage",$V91*$Q91,$Q91))</x:f>
      </x:c>
      <x:c r="X91" s="235" t="str">
        <x:f>IF(OR($T91="",$V91=""),"",$T91-$V91)</x:f>
      </x:c>
      <x:c r="Y91" s="247" t="str">
        <x:f>IFERROR($X91/$T91,"")</x:f>
      </x:c>
      <x:c r="Z91" s="235" t="str">
        <x:f>IF(OR($U91="",$W91=""),"",$U91-$W91)</x:f>
      </x:c>
      <x:c r="AA91" s="247" t="str">
        <x:f>IFERROR($Z91/$U91,"")</x:f>
      </x:c>
      <x:c r="AB91" s="235" t="str">
        <x:f>IF(OR($S91="",$U91=""),"",$S91-$U91)</x:f>
      </x:c>
      <x:c r="AC91" s="247" t="str">
        <x:f>IFERROR($AB91/$S91,"")</x:f>
      </x:c>
      <x:c r="AD91" s="247" t="str">
        <x:f>IF(OR($Y91="",$AA91=""),"",$AA91-$Y91)</x:f>
      </x:c>
      <x:c r="AE91" s="199" t="str">
        <x:f>IF($A91="","",IF(IF($H91="Percentage",$S91*$I91,$I91)&gt;=MAX(IF($J91="Percentage",$S91*$K91,$K91),IF($L91="Percentage",$T91*$M91,$M91),IF($N91="Percentage",$T91*$O91,$O91)),"Customer discount",IF(IF($J91="Percentage",$S91*$K91,$K91)&gt;=MAX(IF($L91="Percentage",$T91*$M91,$M91),IF($N91="Percentage",$T91*$O91,$O91)),"Promotional discount",IF(IF($L91="Percentage",$T91*$M91,$M91)&gt;=IF($N91="Percentage",$T91*$O91,$O91),"Freight/service concession","Customer rebate"))))</x:f>
      </x:c>
      <x:c r="AF91" s="204" t="str">
        <x:f>IF($AA91="","",IF($R91="","No threshold set",IF($AA91&gt;=$R91,"Within configured threshold","Commercial review required")))</x:f>
      </x:c>
      <x:c r="AG91" s="177"/>
    </x:row>
    <x:row r="92">
      <x:c r="A92" s="175"/>
      <x:c r="B92" s="217"/>
      <x:c r="C92" s="176"/>
      <x:c r="D92" s="176"/>
      <x:c r="E92" s="223"/>
      <x:c r="F92" s="253"/>
      <x:c r="G92" s="223"/>
      <x:c r="H92" s="176"/>
      <x:c r="I92" s="223"/>
      <x:c r="J92" s="176"/>
      <x:c r="K92" s="223"/>
      <x:c r="L92" s="176"/>
      <x:c r="M92" s="223"/>
      <x:c r="N92" s="176"/>
      <x:c r="O92" s="223"/>
      <x:c r="P92" s="176"/>
      <x:c r="Q92" s="223"/>
      <x:c r="R92" s="241"/>
      <x:c r="S92" s="229" t="str">
        <x:f>IF(OR($E92="",$F92=""),"",$E92*$F92)</x:f>
      </x:c>
      <x:c r="T92" s="235" t="str">
        <x:f>IF($S92="","",$S92-IF($H92="Percentage",$S92*$I92,$I92)-IF($J92="Percentage",$S92*$K92,$K92))</x:f>
      </x:c>
      <x:c r="U92" s="235" t="str">
        <x:f>IF($T92="","",$T92-IF($L92="Percentage",$T92*$M92,$M92)-IF($N92="Percentage",$T92*$O92,$O92))</x:f>
      </x:c>
      <x:c r="V92" s="235" t="str">
        <x:f>IF(OR($G92="",$F92=""),"",$G92*$F92)</x:f>
      </x:c>
      <x:c r="W92" s="235" t="str">
        <x:f>IF($V92="","",$V92-IF($P92="Percentage",$V92*$Q92,$Q92))</x:f>
      </x:c>
      <x:c r="X92" s="235" t="str">
        <x:f>IF(OR($T92="",$V92=""),"",$T92-$V92)</x:f>
      </x:c>
      <x:c r="Y92" s="247" t="str">
        <x:f>IFERROR($X92/$T92,"")</x:f>
      </x:c>
      <x:c r="Z92" s="235" t="str">
        <x:f>IF(OR($U92="",$W92=""),"",$U92-$W92)</x:f>
      </x:c>
      <x:c r="AA92" s="247" t="str">
        <x:f>IFERROR($Z92/$U92,"")</x:f>
      </x:c>
      <x:c r="AB92" s="235" t="str">
        <x:f>IF(OR($S92="",$U92=""),"",$S92-$U92)</x:f>
      </x:c>
      <x:c r="AC92" s="247" t="str">
        <x:f>IFERROR($AB92/$S92,"")</x:f>
      </x:c>
      <x:c r="AD92" s="247" t="str">
        <x:f>IF(OR($Y92="",$AA92=""),"",$AA92-$Y92)</x:f>
      </x:c>
      <x:c r="AE92" s="199" t="str">
        <x:f>IF($A92="","",IF(IF($H92="Percentage",$S92*$I92,$I92)&gt;=MAX(IF($J92="Percentage",$S92*$K92,$K92),IF($L92="Percentage",$T92*$M92,$M92),IF($N92="Percentage",$T92*$O92,$O92)),"Customer discount",IF(IF($J92="Percentage",$S92*$K92,$K92)&gt;=MAX(IF($L92="Percentage",$T92*$M92,$M92),IF($N92="Percentage",$T92*$O92,$O92)),"Promotional discount",IF(IF($L92="Percentage",$T92*$M92,$M92)&gt;=IF($N92="Percentage",$T92*$O92,$O92),"Freight/service concession","Customer rebate"))))</x:f>
      </x:c>
      <x:c r="AF92" s="204" t="str">
        <x:f>IF($AA92="","",IF($R92="","No threshold set",IF($AA92&gt;=$R92,"Within configured threshold","Commercial review required")))</x:f>
      </x:c>
      <x:c r="AG92" s="177"/>
    </x:row>
    <x:row r="93">
      <x:c r="A93" s="175"/>
      <x:c r="B93" s="217"/>
      <x:c r="C93" s="176"/>
      <x:c r="D93" s="176"/>
      <x:c r="E93" s="223"/>
      <x:c r="F93" s="253"/>
      <x:c r="G93" s="223"/>
      <x:c r="H93" s="176"/>
      <x:c r="I93" s="223"/>
      <x:c r="J93" s="176"/>
      <x:c r="K93" s="223"/>
      <x:c r="L93" s="176"/>
      <x:c r="M93" s="223"/>
      <x:c r="N93" s="176"/>
      <x:c r="O93" s="223"/>
      <x:c r="P93" s="176"/>
      <x:c r="Q93" s="223"/>
      <x:c r="R93" s="241"/>
      <x:c r="S93" s="229" t="str">
        <x:f>IF(OR($E93="",$F93=""),"",$E93*$F93)</x:f>
      </x:c>
      <x:c r="T93" s="235" t="str">
        <x:f>IF($S93="","",$S93-IF($H93="Percentage",$S93*$I93,$I93)-IF($J93="Percentage",$S93*$K93,$K93))</x:f>
      </x:c>
      <x:c r="U93" s="235" t="str">
        <x:f>IF($T93="","",$T93-IF($L93="Percentage",$T93*$M93,$M93)-IF($N93="Percentage",$T93*$O93,$O93))</x:f>
      </x:c>
      <x:c r="V93" s="235" t="str">
        <x:f>IF(OR($G93="",$F93=""),"",$G93*$F93)</x:f>
      </x:c>
      <x:c r="W93" s="235" t="str">
        <x:f>IF($V93="","",$V93-IF($P93="Percentage",$V93*$Q93,$Q93))</x:f>
      </x:c>
      <x:c r="X93" s="235" t="str">
        <x:f>IF(OR($T93="",$V93=""),"",$T93-$V93)</x:f>
      </x:c>
      <x:c r="Y93" s="247" t="str">
        <x:f>IFERROR($X93/$T93,"")</x:f>
      </x:c>
      <x:c r="Z93" s="235" t="str">
        <x:f>IF(OR($U93="",$W93=""),"",$U93-$W93)</x:f>
      </x:c>
      <x:c r="AA93" s="247" t="str">
        <x:f>IFERROR($Z93/$U93,"")</x:f>
      </x:c>
      <x:c r="AB93" s="235" t="str">
        <x:f>IF(OR($S93="",$U93=""),"",$S93-$U93)</x:f>
      </x:c>
      <x:c r="AC93" s="247" t="str">
        <x:f>IFERROR($AB93/$S93,"")</x:f>
      </x:c>
      <x:c r="AD93" s="247" t="str">
        <x:f>IF(OR($Y93="",$AA93=""),"",$AA93-$Y93)</x:f>
      </x:c>
      <x:c r="AE93" s="199" t="str">
        <x:f>IF($A93="","",IF(IF($H93="Percentage",$S93*$I93,$I93)&gt;=MAX(IF($J93="Percentage",$S93*$K93,$K93),IF($L93="Percentage",$T93*$M93,$M93),IF($N93="Percentage",$T93*$O93,$O93)),"Customer discount",IF(IF($J93="Percentage",$S93*$K93,$K93)&gt;=MAX(IF($L93="Percentage",$T93*$M93,$M93),IF($N93="Percentage",$T93*$O93,$O93)),"Promotional discount",IF(IF($L93="Percentage",$T93*$M93,$M93)&gt;=IF($N93="Percentage",$T93*$O93,$O93),"Freight/service concession","Customer rebate"))))</x:f>
      </x:c>
      <x:c r="AF93" s="204" t="str">
        <x:f>IF($AA93="","",IF($R93="","No threshold set",IF($AA93&gt;=$R93,"Within configured threshold","Commercial review required")))</x:f>
      </x:c>
      <x:c r="AG93" s="177"/>
    </x:row>
    <x:row r="94">
      <x:c r="A94" s="175"/>
      <x:c r="B94" s="217"/>
      <x:c r="C94" s="176"/>
      <x:c r="D94" s="176"/>
      <x:c r="E94" s="223"/>
      <x:c r="F94" s="253"/>
      <x:c r="G94" s="223"/>
      <x:c r="H94" s="176"/>
      <x:c r="I94" s="223"/>
      <x:c r="J94" s="176"/>
      <x:c r="K94" s="223"/>
      <x:c r="L94" s="176"/>
      <x:c r="M94" s="223"/>
      <x:c r="N94" s="176"/>
      <x:c r="O94" s="223"/>
      <x:c r="P94" s="176"/>
      <x:c r="Q94" s="223"/>
      <x:c r="R94" s="241"/>
      <x:c r="S94" s="229" t="str">
        <x:f>IF(OR($E94="",$F94=""),"",$E94*$F94)</x:f>
      </x:c>
      <x:c r="T94" s="235" t="str">
        <x:f>IF($S94="","",$S94-IF($H94="Percentage",$S94*$I94,$I94)-IF($J94="Percentage",$S94*$K94,$K94))</x:f>
      </x:c>
      <x:c r="U94" s="235" t="str">
        <x:f>IF($T94="","",$T94-IF($L94="Percentage",$T94*$M94,$M94)-IF($N94="Percentage",$T94*$O94,$O94))</x:f>
      </x:c>
      <x:c r="V94" s="235" t="str">
        <x:f>IF(OR($G94="",$F94=""),"",$G94*$F94)</x:f>
      </x:c>
      <x:c r="W94" s="235" t="str">
        <x:f>IF($V94="","",$V94-IF($P94="Percentage",$V94*$Q94,$Q94))</x:f>
      </x:c>
      <x:c r="X94" s="235" t="str">
        <x:f>IF(OR($T94="",$V94=""),"",$T94-$V94)</x:f>
      </x:c>
      <x:c r="Y94" s="247" t="str">
        <x:f>IFERROR($X94/$T94,"")</x:f>
      </x:c>
      <x:c r="Z94" s="235" t="str">
        <x:f>IF(OR($U94="",$W94=""),"",$U94-$W94)</x:f>
      </x:c>
      <x:c r="AA94" s="247" t="str">
        <x:f>IFERROR($Z94/$U94,"")</x:f>
      </x:c>
      <x:c r="AB94" s="235" t="str">
        <x:f>IF(OR($S94="",$U94=""),"",$S94-$U94)</x:f>
      </x:c>
      <x:c r="AC94" s="247" t="str">
        <x:f>IFERROR($AB94/$S94,"")</x:f>
      </x:c>
      <x:c r="AD94" s="247" t="str">
        <x:f>IF(OR($Y94="",$AA94=""),"",$AA94-$Y94)</x:f>
      </x:c>
      <x:c r="AE94" s="199" t="str">
        <x:f>IF($A94="","",IF(IF($H94="Percentage",$S94*$I94,$I94)&gt;=MAX(IF($J94="Percentage",$S94*$K94,$K94),IF($L94="Percentage",$T94*$M94,$M94),IF($N94="Percentage",$T94*$O94,$O94)),"Customer discount",IF(IF($J94="Percentage",$S94*$K94,$K94)&gt;=MAX(IF($L94="Percentage",$T94*$M94,$M94),IF($N94="Percentage",$T94*$O94,$O94)),"Promotional discount",IF(IF($L94="Percentage",$T94*$M94,$M94)&gt;=IF($N94="Percentage",$T94*$O94,$O94),"Freight/service concession","Customer rebate"))))</x:f>
      </x:c>
      <x:c r="AF94" s="204" t="str">
        <x:f>IF($AA94="","",IF($R94="","No threshold set",IF($AA94&gt;=$R94,"Within configured threshold","Commercial review required")))</x:f>
      </x:c>
      <x:c r="AG94" s="177"/>
    </x:row>
    <x:row r="95">
      <x:c r="A95" s="175"/>
      <x:c r="B95" s="217"/>
      <x:c r="C95" s="176"/>
      <x:c r="D95" s="176"/>
      <x:c r="E95" s="223"/>
      <x:c r="F95" s="253"/>
      <x:c r="G95" s="223"/>
      <x:c r="H95" s="176"/>
      <x:c r="I95" s="223"/>
      <x:c r="J95" s="176"/>
      <x:c r="K95" s="223"/>
      <x:c r="L95" s="176"/>
      <x:c r="M95" s="223"/>
      <x:c r="N95" s="176"/>
      <x:c r="O95" s="223"/>
      <x:c r="P95" s="176"/>
      <x:c r="Q95" s="223"/>
      <x:c r="R95" s="241"/>
      <x:c r="S95" s="229" t="str">
        <x:f>IF(OR($E95="",$F95=""),"",$E95*$F95)</x:f>
      </x:c>
      <x:c r="T95" s="235" t="str">
        <x:f>IF($S95="","",$S95-IF($H95="Percentage",$S95*$I95,$I95)-IF($J95="Percentage",$S95*$K95,$K95))</x:f>
      </x:c>
      <x:c r="U95" s="235" t="str">
        <x:f>IF($T95="","",$T95-IF($L95="Percentage",$T95*$M95,$M95)-IF($N95="Percentage",$T95*$O95,$O95))</x:f>
      </x:c>
      <x:c r="V95" s="235" t="str">
        <x:f>IF(OR($G95="",$F95=""),"",$G95*$F95)</x:f>
      </x:c>
      <x:c r="W95" s="235" t="str">
        <x:f>IF($V95="","",$V95-IF($P95="Percentage",$V95*$Q95,$Q95))</x:f>
      </x:c>
      <x:c r="X95" s="235" t="str">
        <x:f>IF(OR($T95="",$V95=""),"",$T95-$V95)</x:f>
      </x:c>
      <x:c r="Y95" s="247" t="str">
        <x:f>IFERROR($X95/$T95,"")</x:f>
      </x:c>
      <x:c r="Z95" s="235" t="str">
        <x:f>IF(OR($U95="",$W95=""),"",$U95-$W95)</x:f>
      </x:c>
      <x:c r="AA95" s="247" t="str">
        <x:f>IFERROR($Z95/$U95,"")</x:f>
      </x:c>
      <x:c r="AB95" s="235" t="str">
        <x:f>IF(OR($S95="",$U95=""),"",$S95-$U95)</x:f>
      </x:c>
      <x:c r="AC95" s="247" t="str">
        <x:f>IFERROR($AB95/$S95,"")</x:f>
      </x:c>
      <x:c r="AD95" s="247" t="str">
        <x:f>IF(OR($Y95="",$AA95=""),"",$AA95-$Y95)</x:f>
      </x:c>
      <x:c r="AE95" s="199" t="str">
        <x:f>IF($A95="","",IF(IF($H95="Percentage",$S95*$I95,$I95)&gt;=MAX(IF($J95="Percentage",$S95*$K95,$K95),IF($L95="Percentage",$T95*$M95,$M95),IF($N95="Percentage",$T95*$O95,$O95)),"Customer discount",IF(IF($J95="Percentage",$S95*$K95,$K95)&gt;=MAX(IF($L95="Percentage",$T95*$M95,$M95),IF($N95="Percentage",$T95*$O95,$O95)),"Promotional discount",IF(IF($L95="Percentage",$T95*$M95,$M95)&gt;=IF($N95="Percentage",$T95*$O95,$O95),"Freight/service concession","Customer rebate"))))</x:f>
      </x:c>
      <x:c r="AF95" s="204" t="str">
        <x:f>IF($AA95="","",IF($R95="","No threshold set",IF($AA95&gt;=$R95,"Within configured threshold","Commercial review required")))</x:f>
      </x:c>
      <x:c r="AG95" s="177"/>
    </x:row>
    <x:row r="96">
      <x:c r="A96" s="175"/>
      <x:c r="B96" s="217"/>
      <x:c r="C96" s="176"/>
      <x:c r="D96" s="176"/>
      <x:c r="E96" s="223"/>
      <x:c r="F96" s="253"/>
      <x:c r="G96" s="223"/>
      <x:c r="H96" s="176"/>
      <x:c r="I96" s="223"/>
      <x:c r="J96" s="176"/>
      <x:c r="K96" s="223"/>
      <x:c r="L96" s="176"/>
      <x:c r="M96" s="223"/>
      <x:c r="N96" s="176"/>
      <x:c r="O96" s="223"/>
      <x:c r="P96" s="176"/>
      <x:c r="Q96" s="223"/>
      <x:c r="R96" s="241"/>
      <x:c r="S96" s="229" t="str">
        <x:f>IF(OR($E96="",$F96=""),"",$E96*$F96)</x:f>
      </x:c>
      <x:c r="T96" s="235" t="str">
        <x:f>IF($S96="","",$S96-IF($H96="Percentage",$S96*$I96,$I96)-IF($J96="Percentage",$S96*$K96,$K96))</x:f>
      </x:c>
      <x:c r="U96" s="235" t="str">
        <x:f>IF($T96="","",$T96-IF($L96="Percentage",$T96*$M96,$M96)-IF($N96="Percentage",$T96*$O96,$O96))</x:f>
      </x:c>
      <x:c r="V96" s="235" t="str">
        <x:f>IF(OR($G96="",$F96=""),"",$G96*$F96)</x:f>
      </x:c>
      <x:c r="W96" s="235" t="str">
        <x:f>IF($V96="","",$V96-IF($P96="Percentage",$V96*$Q96,$Q96))</x:f>
      </x:c>
      <x:c r="X96" s="235" t="str">
        <x:f>IF(OR($T96="",$V96=""),"",$T96-$V96)</x:f>
      </x:c>
      <x:c r="Y96" s="247" t="str">
        <x:f>IFERROR($X96/$T96,"")</x:f>
      </x:c>
      <x:c r="Z96" s="235" t="str">
        <x:f>IF(OR($U96="",$W96=""),"",$U96-$W96)</x:f>
      </x:c>
      <x:c r="AA96" s="247" t="str">
        <x:f>IFERROR($Z96/$U96,"")</x:f>
      </x:c>
      <x:c r="AB96" s="235" t="str">
        <x:f>IF(OR($S96="",$U96=""),"",$S96-$U96)</x:f>
      </x:c>
      <x:c r="AC96" s="247" t="str">
        <x:f>IFERROR($AB96/$S96,"")</x:f>
      </x:c>
      <x:c r="AD96" s="247" t="str">
        <x:f>IF(OR($Y96="",$AA96=""),"",$AA96-$Y96)</x:f>
      </x:c>
      <x:c r="AE96" s="199" t="str">
        <x:f>IF($A96="","",IF(IF($H96="Percentage",$S96*$I96,$I96)&gt;=MAX(IF($J96="Percentage",$S96*$K96,$K96),IF($L96="Percentage",$T96*$M96,$M96),IF($N96="Percentage",$T96*$O96,$O96)),"Customer discount",IF(IF($J96="Percentage",$S96*$K96,$K96)&gt;=MAX(IF($L96="Percentage",$T96*$M96,$M96),IF($N96="Percentage",$T96*$O96,$O96)),"Promotional discount",IF(IF($L96="Percentage",$T96*$M96,$M96)&gt;=IF($N96="Percentage",$T96*$O96,$O96),"Freight/service concession","Customer rebate"))))</x:f>
      </x:c>
      <x:c r="AF96" s="204" t="str">
        <x:f>IF($AA96="","",IF($R96="","No threshold set",IF($AA96&gt;=$R96,"Within configured threshold","Commercial review required")))</x:f>
      </x:c>
      <x:c r="AG96" s="177"/>
    </x:row>
    <x:row r="97">
      <x:c r="A97" s="175"/>
      <x:c r="B97" s="217"/>
      <x:c r="C97" s="176"/>
      <x:c r="D97" s="176"/>
      <x:c r="E97" s="223"/>
      <x:c r="F97" s="253"/>
      <x:c r="G97" s="223"/>
      <x:c r="H97" s="176"/>
      <x:c r="I97" s="223"/>
      <x:c r="J97" s="176"/>
      <x:c r="K97" s="223"/>
      <x:c r="L97" s="176"/>
      <x:c r="M97" s="223"/>
      <x:c r="N97" s="176"/>
      <x:c r="O97" s="223"/>
      <x:c r="P97" s="176"/>
      <x:c r="Q97" s="223"/>
      <x:c r="R97" s="241"/>
      <x:c r="S97" s="229" t="str">
        <x:f>IF(OR($E97="",$F97=""),"",$E97*$F97)</x:f>
      </x:c>
      <x:c r="T97" s="235" t="str">
        <x:f>IF($S97="","",$S97-IF($H97="Percentage",$S97*$I97,$I97)-IF($J97="Percentage",$S97*$K97,$K97))</x:f>
      </x:c>
      <x:c r="U97" s="235" t="str">
        <x:f>IF($T97="","",$T97-IF($L97="Percentage",$T97*$M97,$M97)-IF($N97="Percentage",$T97*$O97,$O97))</x:f>
      </x:c>
      <x:c r="V97" s="235" t="str">
        <x:f>IF(OR($G97="",$F97=""),"",$G97*$F97)</x:f>
      </x:c>
      <x:c r="W97" s="235" t="str">
        <x:f>IF($V97="","",$V97-IF($P97="Percentage",$V97*$Q97,$Q97))</x:f>
      </x:c>
      <x:c r="X97" s="235" t="str">
        <x:f>IF(OR($T97="",$V97=""),"",$T97-$V97)</x:f>
      </x:c>
      <x:c r="Y97" s="247" t="str">
        <x:f>IFERROR($X97/$T97,"")</x:f>
      </x:c>
      <x:c r="Z97" s="235" t="str">
        <x:f>IF(OR($U97="",$W97=""),"",$U97-$W97)</x:f>
      </x:c>
      <x:c r="AA97" s="247" t="str">
        <x:f>IFERROR($Z97/$U97,"")</x:f>
      </x:c>
      <x:c r="AB97" s="235" t="str">
        <x:f>IF(OR($S97="",$U97=""),"",$S97-$U97)</x:f>
      </x:c>
      <x:c r="AC97" s="247" t="str">
        <x:f>IFERROR($AB97/$S97,"")</x:f>
      </x:c>
      <x:c r="AD97" s="247" t="str">
        <x:f>IF(OR($Y97="",$AA97=""),"",$AA97-$Y97)</x:f>
      </x:c>
      <x:c r="AE97" s="199" t="str">
        <x:f>IF($A97="","",IF(IF($H97="Percentage",$S97*$I97,$I97)&gt;=MAX(IF($J97="Percentage",$S97*$K97,$K97),IF($L97="Percentage",$T97*$M97,$M97),IF($N97="Percentage",$T97*$O97,$O97)),"Customer discount",IF(IF($J97="Percentage",$S97*$K97,$K97)&gt;=MAX(IF($L97="Percentage",$T97*$M97,$M97),IF($N97="Percentage",$T97*$O97,$O97)),"Promotional discount",IF(IF($L97="Percentage",$T97*$M97,$M97)&gt;=IF($N97="Percentage",$T97*$O97,$O97),"Freight/service concession","Customer rebate"))))</x:f>
      </x:c>
      <x:c r="AF97" s="204" t="str">
        <x:f>IF($AA97="","",IF($R97="","No threshold set",IF($AA97&gt;=$R97,"Within configured threshold","Commercial review required")))</x:f>
      </x:c>
      <x:c r="AG97" s="177"/>
    </x:row>
    <x:row r="98">
      <x:c r="A98" s="175"/>
      <x:c r="B98" s="217"/>
      <x:c r="C98" s="176"/>
      <x:c r="D98" s="176"/>
      <x:c r="E98" s="223"/>
      <x:c r="F98" s="253"/>
      <x:c r="G98" s="223"/>
      <x:c r="H98" s="176"/>
      <x:c r="I98" s="223"/>
      <x:c r="J98" s="176"/>
      <x:c r="K98" s="223"/>
      <x:c r="L98" s="176"/>
      <x:c r="M98" s="223"/>
      <x:c r="N98" s="176"/>
      <x:c r="O98" s="223"/>
      <x:c r="P98" s="176"/>
      <x:c r="Q98" s="223"/>
      <x:c r="R98" s="241"/>
      <x:c r="S98" s="229" t="str">
        <x:f>IF(OR($E98="",$F98=""),"",$E98*$F98)</x:f>
      </x:c>
      <x:c r="T98" s="235" t="str">
        <x:f>IF($S98="","",$S98-IF($H98="Percentage",$S98*$I98,$I98)-IF($J98="Percentage",$S98*$K98,$K98))</x:f>
      </x:c>
      <x:c r="U98" s="235" t="str">
        <x:f>IF($T98="","",$T98-IF($L98="Percentage",$T98*$M98,$M98)-IF($N98="Percentage",$T98*$O98,$O98))</x:f>
      </x:c>
      <x:c r="V98" s="235" t="str">
        <x:f>IF(OR($G98="",$F98=""),"",$G98*$F98)</x:f>
      </x:c>
      <x:c r="W98" s="235" t="str">
        <x:f>IF($V98="","",$V98-IF($P98="Percentage",$V98*$Q98,$Q98))</x:f>
      </x:c>
      <x:c r="X98" s="235" t="str">
        <x:f>IF(OR($T98="",$V98=""),"",$T98-$V98)</x:f>
      </x:c>
      <x:c r="Y98" s="247" t="str">
        <x:f>IFERROR($X98/$T98,"")</x:f>
      </x:c>
      <x:c r="Z98" s="235" t="str">
        <x:f>IF(OR($U98="",$W98=""),"",$U98-$W98)</x:f>
      </x:c>
      <x:c r="AA98" s="247" t="str">
        <x:f>IFERROR($Z98/$U98,"")</x:f>
      </x:c>
      <x:c r="AB98" s="235" t="str">
        <x:f>IF(OR($S98="",$U98=""),"",$S98-$U98)</x:f>
      </x:c>
      <x:c r="AC98" s="247" t="str">
        <x:f>IFERROR($AB98/$S98,"")</x:f>
      </x:c>
      <x:c r="AD98" s="247" t="str">
        <x:f>IF(OR($Y98="",$AA98=""),"",$AA98-$Y98)</x:f>
      </x:c>
      <x:c r="AE98" s="199" t="str">
        <x:f>IF($A98="","",IF(IF($H98="Percentage",$S98*$I98,$I98)&gt;=MAX(IF($J98="Percentage",$S98*$K98,$K98),IF($L98="Percentage",$T98*$M98,$M98),IF($N98="Percentage",$T98*$O98,$O98)),"Customer discount",IF(IF($J98="Percentage",$S98*$K98,$K98)&gt;=MAX(IF($L98="Percentage",$T98*$M98,$M98),IF($N98="Percentage",$T98*$O98,$O98)),"Promotional discount",IF(IF($L98="Percentage",$T98*$M98,$M98)&gt;=IF($N98="Percentage",$T98*$O98,$O98),"Freight/service concession","Customer rebate"))))</x:f>
      </x:c>
      <x:c r="AF98" s="204" t="str">
        <x:f>IF($AA98="","",IF($R98="","No threshold set",IF($AA98&gt;=$R98,"Within configured threshold","Commercial review required")))</x:f>
      </x:c>
      <x:c r="AG98" s="177"/>
    </x:row>
    <x:row r="99">
      <x:c r="A99" s="175"/>
      <x:c r="B99" s="217"/>
      <x:c r="C99" s="176"/>
      <x:c r="D99" s="176"/>
      <x:c r="E99" s="223"/>
      <x:c r="F99" s="253"/>
      <x:c r="G99" s="223"/>
      <x:c r="H99" s="176"/>
      <x:c r="I99" s="223"/>
      <x:c r="J99" s="176"/>
      <x:c r="K99" s="223"/>
      <x:c r="L99" s="176"/>
      <x:c r="M99" s="223"/>
      <x:c r="N99" s="176"/>
      <x:c r="O99" s="223"/>
      <x:c r="P99" s="176"/>
      <x:c r="Q99" s="223"/>
      <x:c r="R99" s="241"/>
      <x:c r="S99" s="229" t="str">
        <x:f>IF(OR($E99="",$F99=""),"",$E99*$F99)</x:f>
      </x:c>
      <x:c r="T99" s="235" t="str">
        <x:f>IF($S99="","",$S99-IF($H99="Percentage",$S99*$I99,$I99)-IF($J99="Percentage",$S99*$K99,$K99))</x:f>
      </x:c>
      <x:c r="U99" s="235" t="str">
        <x:f>IF($T99="","",$T99-IF($L99="Percentage",$T99*$M99,$M99)-IF($N99="Percentage",$T99*$O99,$O99))</x:f>
      </x:c>
      <x:c r="V99" s="235" t="str">
        <x:f>IF(OR($G99="",$F99=""),"",$G99*$F99)</x:f>
      </x:c>
      <x:c r="W99" s="235" t="str">
        <x:f>IF($V99="","",$V99-IF($P99="Percentage",$V99*$Q99,$Q99))</x:f>
      </x:c>
      <x:c r="X99" s="235" t="str">
        <x:f>IF(OR($T99="",$V99=""),"",$T99-$V99)</x:f>
      </x:c>
      <x:c r="Y99" s="247" t="str">
        <x:f>IFERROR($X99/$T99,"")</x:f>
      </x:c>
      <x:c r="Z99" s="235" t="str">
        <x:f>IF(OR($U99="",$W99=""),"",$U99-$W99)</x:f>
      </x:c>
      <x:c r="AA99" s="247" t="str">
        <x:f>IFERROR($Z99/$U99,"")</x:f>
      </x:c>
      <x:c r="AB99" s="235" t="str">
        <x:f>IF(OR($S99="",$U99=""),"",$S99-$U99)</x:f>
      </x:c>
      <x:c r="AC99" s="247" t="str">
        <x:f>IFERROR($AB99/$S99,"")</x:f>
      </x:c>
      <x:c r="AD99" s="247" t="str">
        <x:f>IF(OR($Y99="",$AA99=""),"",$AA99-$Y99)</x:f>
      </x:c>
      <x:c r="AE99" s="199" t="str">
        <x:f>IF($A99="","",IF(IF($H99="Percentage",$S99*$I99,$I99)&gt;=MAX(IF($J99="Percentage",$S99*$K99,$K99),IF($L99="Percentage",$T99*$M99,$M99),IF($N99="Percentage",$T99*$O99,$O99)),"Customer discount",IF(IF($J99="Percentage",$S99*$K99,$K99)&gt;=MAX(IF($L99="Percentage",$T99*$M99,$M99),IF($N99="Percentage",$T99*$O99,$O99)),"Promotional discount",IF(IF($L99="Percentage",$T99*$M99,$M99)&gt;=IF($N99="Percentage",$T99*$O99,$O99),"Freight/service concession","Customer rebate"))))</x:f>
      </x:c>
      <x:c r="AF99" s="204" t="str">
        <x:f>IF($AA99="","",IF($R99="","No threshold set",IF($AA99&gt;=$R99,"Within configured threshold","Commercial review required")))</x:f>
      </x:c>
      <x:c r="AG99" s="177"/>
    </x:row>
    <x:row r="100">
      <x:c r="A100" s="175"/>
      <x:c r="B100" s="217"/>
      <x:c r="C100" s="176"/>
      <x:c r="D100" s="176"/>
      <x:c r="E100" s="223"/>
      <x:c r="F100" s="253"/>
      <x:c r="G100" s="223"/>
      <x:c r="H100" s="176"/>
      <x:c r="I100" s="223"/>
      <x:c r="J100" s="176"/>
      <x:c r="K100" s="223"/>
      <x:c r="L100" s="176"/>
      <x:c r="M100" s="223"/>
      <x:c r="N100" s="176"/>
      <x:c r="O100" s="223"/>
      <x:c r="P100" s="176"/>
      <x:c r="Q100" s="223"/>
      <x:c r="R100" s="241"/>
      <x:c r="S100" s="229" t="str">
        <x:f>IF(OR($E100="",$F100=""),"",$E100*$F100)</x:f>
      </x:c>
      <x:c r="T100" s="235" t="str">
        <x:f>IF($S100="","",$S100-IF($H100="Percentage",$S100*$I100,$I100)-IF($J100="Percentage",$S100*$K100,$K100))</x:f>
      </x:c>
      <x:c r="U100" s="235" t="str">
        <x:f>IF($T100="","",$T100-IF($L100="Percentage",$T100*$M100,$M100)-IF($N100="Percentage",$T100*$O100,$O100))</x:f>
      </x:c>
      <x:c r="V100" s="235" t="str">
        <x:f>IF(OR($G100="",$F100=""),"",$G100*$F100)</x:f>
      </x:c>
      <x:c r="W100" s="235" t="str">
        <x:f>IF($V100="","",$V100-IF($P100="Percentage",$V100*$Q100,$Q100))</x:f>
      </x:c>
      <x:c r="X100" s="235" t="str">
        <x:f>IF(OR($T100="",$V100=""),"",$T100-$V100)</x:f>
      </x:c>
      <x:c r="Y100" s="247" t="str">
        <x:f>IFERROR($X100/$T100,"")</x:f>
      </x:c>
      <x:c r="Z100" s="235" t="str">
        <x:f>IF(OR($U100="",$W100=""),"",$U100-$W100)</x:f>
      </x:c>
      <x:c r="AA100" s="247" t="str">
        <x:f>IFERROR($Z100/$U100,"")</x:f>
      </x:c>
      <x:c r="AB100" s="235" t="str">
        <x:f>IF(OR($S100="",$U100=""),"",$S100-$U100)</x:f>
      </x:c>
      <x:c r="AC100" s="247" t="str">
        <x:f>IFERROR($AB100/$S100,"")</x:f>
      </x:c>
      <x:c r="AD100" s="247" t="str">
        <x:f>IF(OR($Y100="",$AA100=""),"",$AA100-$Y100)</x:f>
      </x:c>
      <x:c r="AE100" s="199" t="str">
        <x:f>IF($A100="","",IF(IF($H100="Percentage",$S100*$I100,$I100)&gt;=MAX(IF($J100="Percentage",$S100*$K100,$K100),IF($L100="Percentage",$T100*$M100,$M100),IF($N100="Percentage",$T100*$O100,$O100)),"Customer discount",IF(IF($J100="Percentage",$S100*$K100,$K100)&gt;=MAX(IF($L100="Percentage",$T100*$M100,$M100),IF($N100="Percentage",$T100*$O100,$O100)),"Promotional discount",IF(IF($L100="Percentage",$T100*$M100,$M100)&gt;=IF($N100="Percentage",$T100*$O100,$O100),"Freight/service concession","Customer rebate"))))</x:f>
      </x:c>
      <x:c r="AF100" s="204" t="str">
        <x:f>IF($AA100="","",IF($R100="","No threshold set",IF($AA100&gt;=$R100,"Within configured threshold","Commercial review required")))</x:f>
      </x:c>
      <x:c r="AG100" s="177"/>
    </x:row>
    <x:row r="101">
      <x:c r="A101" s="175"/>
      <x:c r="B101" s="217"/>
      <x:c r="C101" s="176"/>
      <x:c r="D101" s="176"/>
      <x:c r="E101" s="223"/>
      <x:c r="F101" s="253"/>
      <x:c r="G101" s="223"/>
      <x:c r="H101" s="176"/>
      <x:c r="I101" s="223"/>
      <x:c r="J101" s="176"/>
      <x:c r="K101" s="223"/>
      <x:c r="L101" s="176"/>
      <x:c r="M101" s="223"/>
      <x:c r="N101" s="176"/>
      <x:c r="O101" s="223"/>
      <x:c r="P101" s="176"/>
      <x:c r="Q101" s="223"/>
      <x:c r="R101" s="241"/>
      <x:c r="S101" s="229" t="str">
        <x:f>IF(OR($E101="",$F101=""),"",$E101*$F101)</x:f>
      </x:c>
      <x:c r="T101" s="235" t="str">
        <x:f>IF($S101="","",$S101-IF($H101="Percentage",$S101*$I101,$I101)-IF($J101="Percentage",$S101*$K101,$K101))</x:f>
      </x:c>
      <x:c r="U101" s="235" t="str">
        <x:f>IF($T101="","",$T101-IF($L101="Percentage",$T101*$M101,$M101)-IF($N101="Percentage",$T101*$O101,$O101))</x:f>
      </x:c>
      <x:c r="V101" s="235" t="str">
        <x:f>IF(OR($G101="",$F101=""),"",$G101*$F101)</x:f>
      </x:c>
      <x:c r="W101" s="235" t="str">
        <x:f>IF($V101="","",$V101-IF($P101="Percentage",$V101*$Q101,$Q101))</x:f>
      </x:c>
      <x:c r="X101" s="235" t="str">
        <x:f>IF(OR($T101="",$V101=""),"",$T101-$V101)</x:f>
      </x:c>
      <x:c r="Y101" s="247" t="str">
        <x:f>IFERROR($X101/$T101,"")</x:f>
      </x:c>
      <x:c r="Z101" s="235" t="str">
        <x:f>IF(OR($U101="",$W101=""),"",$U101-$W101)</x:f>
      </x:c>
      <x:c r="AA101" s="247" t="str">
        <x:f>IFERROR($Z101/$U101,"")</x:f>
      </x:c>
      <x:c r="AB101" s="235" t="str">
        <x:f>IF(OR($S101="",$U101=""),"",$S101-$U101)</x:f>
      </x:c>
      <x:c r="AC101" s="247" t="str">
        <x:f>IFERROR($AB101/$S101,"")</x:f>
      </x:c>
      <x:c r="AD101" s="247" t="str">
        <x:f>IF(OR($Y101="",$AA101=""),"",$AA101-$Y101)</x:f>
      </x:c>
      <x:c r="AE101" s="199" t="str">
        <x:f>IF($A101="","",IF(IF($H101="Percentage",$S101*$I101,$I101)&gt;=MAX(IF($J101="Percentage",$S101*$K101,$K101),IF($L101="Percentage",$T101*$M101,$M101),IF($N101="Percentage",$T101*$O101,$O101)),"Customer discount",IF(IF($J101="Percentage",$S101*$K101,$K101)&gt;=MAX(IF($L101="Percentage",$T101*$M101,$M101),IF($N101="Percentage",$T101*$O101,$O101)),"Promotional discount",IF(IF($L101="Percentage",$T101*$M101,$M101)&gt;=IF($N101="Percentage",$T101*$O101,$O101),"Freight/service concession","Customer rebate"))))</x:f>
      </x:c>
      <x:c r="AF101" s="204" t="str">
        <x:f>IF($AA101="","",IF($R101="","No threshold set",IF($AA101&gt;=$R101,"Within configured threshold","Commercial review required")))</x:f>
      </x:c>
      <x:c r="AG101" s="177"/>
    </x:row>
    <x:row r="102">
      <x:c r="A102" s="175"/>
      <x:c r="B102" s="217"/>
      <x:c r="C102" s="176"/>
      <x:c r="D102" s="176"/>
      <x:c r="E102" s="223"/>
      <x:c r="F102" s="253"/>
      <x:c r="G102" s="223"/>
      <x:c r="H102" s="176"/>
      <x:c r="I102" s="223"/>
      <x:c r="J102" s="176"/>
      <x:c r="K102" s="223"/>
      <x:c r="L102" s="176"/>
      <x:c r="M102" s="223"/>
      <x:c r="N102" s="176"/>
      <x:c r="O102" s="223"/>
      <x:c r="P102" s="176"/>
      <x:c r="Q102" s="223"/>
      <x:c r="R102" s="241"/>
      <x:c r="S102" s="229" t="str">
        <x:f>IF(OR($E102="",$F102=""),"",$E102*$F102)</x:f>
      </x:c>
      <x:c r="T102" s="235" t="str">
        <x:f>IF($S102="","",$S102-IF($H102="Percentage",$S102*$I102,$I102)-IF($J102="Percentage",$S102*$K102,$K102))</x:f>
      </x:c>
      <x:c r="U102" s="235" t="str">
        <x:f>IF($T102="","",$T102-IF($L102="Percentage",$T102*$M102,$M102)-IF($N102="Percentage",$T102*$O102,$O102))</x:f>
      </x:c>
      <x:c r="V102" s="235" t="str">
        <x:f>IF(OR($G102="",$F102=""),"",$G102*$F102)</x:f>
      </x:c>
      <x:c r="W102" s="235" t="str">
        <x:f>IF($V102="","",$V102-IF($P102="Percentage",$V102*$Q102,$Q102))</x:f>
      </x:c>
      <x:c r="X102" s="235" t="str">
        <x:f>IF(OR($T102="",$V102=""),"",$T102-$V102)</x:f>
      </x:c>
      <x:c r="Y102" s="247" t="str">
        <x:f>IFERROR($X102/$T102,"")</x:f>
      </x:c>
      <x:c r="Z102" s="235" t="str">
        <x:f>IF(OR($U102="",$W102=""),"",$U102-$W102)</x:f>
      </x:c>
      <x:c r="AA102" s="247" t="str">
        <x:f>IFERROR($Z102/$U102,"")</x:f>
      </x:c>
      <x:c r="AB102" s="235" t="str">
        <x:f>IF(OR($S102="",$U102=""),"",$S102-$U102)</x:f>
      </x:c>
      <x:c r="AC102" s="247" t="str">
        <x:f>IFERROR($AB102/$S102,"")</x:f>
      </x:c>
      <x:c r="AD102" s="247" t="str">
        <x:f>IF(OR($Y102="",$AA102=""),"",$AA102-$Y102)</x:f>
      </x:c>
      <x:c r="AE102" s="199" t="str">
        <x:f>IF($A102="","",IF(IF($H102="Percentage",$S102*$I102,$I102)&gt;=MAX(IF($J102="Percentage",$S102*$K102,$K102),IF($L102="Percentage",$T102*$M102,$M102),IF($N102="Percentage",$T102*$O102,$O102)),"Customer discount",IF(IF($J102="Percentage",$S102*$K102,$K102)&gt;=MAX(IF($L102="Percentage",$T102*$M102,$M102),IF($N102="Percentage",$T102*$O102,$O102)),"Promotional discount",IF(IF($L102="Percentage",$T102*$M102,$M102)&gt;=IF($N102="Percentage",$T102*$O102,$O102),"Freight/service concession","Customer rebate"))))</x:f>
      </x:c>
      <x:c r="AF102" s="204" t="str">
        <x:f>IF($AA102="","",IF($R102="","No threshold set",IF($AA102&gt;=$R102,"Within configured threshold","Commercial review required")))</x:f>
      </x:c>
      <x:c r="AG102" s="177"/>
    </x:row>
    <x:row r="103">
      <x:c r="A103" s="175"/>
      <x:c r="B103" s="217"/>
      <x:c r="C103" s="176"/>
      <x:c r="D103" s="176"/>
      <x:c r="E103" s="223"/>
      <x:c r="F103" s="253"/>
      <x:c r="G103" s="223"/>
      <x:c r="H103" s="176"/>
      <x:c r="I103" s="223"/>
      <x:c r="J103" s="176"/>
      <x:c r="K103" s="223"/>
      <x:c r="L103" s="176"/>
      <x:c r="M103" s="223"/>
      <x:c r="N103" s="176"/>
      <x:c r="O103" s="223"/>
      <x:c r="P103" s="176"/>
      <x:c r="Q103" s="223"/>
      <x:c r="R103" s="241"/>
      <x:c r="S103" s="229" t="str">
        <x:f>IF(OR($E103="",$F103=""),"",$E103*$F103)</x:f>
      </x:c>
      <x:c r="T103" s="235" t="str">
        <x:f>IF($S103="","",$S103-IF($H103="Percentage",$S103*$I103,$I103)-IF($J103="Percentage",$S103*$K103,$K103))</x:f>
      </x:c>
      <x:c r="U103" s="235" t="str">
        <x:f>IF($T103="","",$T103-IF($L103="Percentage",$T103*$M103,$M103)-IF($N103="Percentage",$T103*$O103,$O103))</x:f>
      </x:c>
      <x:c r="V103" s="235" t="str">
        <x:f>IF(OR($G103="",$F103=""),"",$G103*$F103)</x:f>
      </x:c>
      <x:c r="W103" s="235" t="str">
        <x:f>IF($V103="","",$V103-IF($P103="Percentage",$V103*$Q103,$Q103))</x:f>
      </x:c>
      <x:c r="X103" s="235" t="str">
        <x:f>IF(OR($T103="",$V103=""),"",$T103-$V103)</x:f>
      </x:c>
      <x:c r="Y103" s="247" t="str">
        <x:f>IFERROR($X103/$T103,"")</x:f>
      </x:c>
      <x:c r="Z103" s="235" t="str">
        <x:f>IF(OR($U103="",$W103=""),"",$U103-$W103)</x:f>
      </x:c>
      <x:c r="AA103" s="247" t="str">
        <x:f>IFERROR($Z103/$U103,"")</x:f>
      </x:c>
      <x:c r="AB103" s="235" t="str">
        <x:f>IF(OR($S103="",$U103=""),"",$S103-$U103)</x:f>
      </x:c>
      <x:c r="AC103" s="247" t="str">
        <x:f>IFERROR($AB103/$S103,"")</x:f>
      </x:c>
      <x:c r="AD103" s="247" t="str">
        <x:f>IF(OR($Y103="",$AA103=""),"",$AA103-$Y103)</x:f>
      </x:c>
      <x:c r="AE103" s="199" t="str">
        <x:f>IF($A103="","",IF(IF($H103="Percentage",$S103*$I103,$I103)&gt;=MAX(IF($J103="Percentage",$S103*$K103,$K103),IF($L103="Percentage",$T103*$M103,$M103),IF($N103="Percentage",$T103*$O103,$O103)),"Customer discount",IF(IF($J103="Percentage",$S103*$K103,$K103)&gt;=MAX(IF($L103="Percentage",$T103*$M103,$M103),IF($N103="Percentage",$T103*$O103,$O103)),"Promotional discount",IF(IF($L103="Percentage",$T103*$M103,$M103)&gt;=IF($N103="Percentage",$T103*$O103,$O103),"Freight/service concession","Customer rebate"))))</x:f>
      </x:c>
      <x:c r="AF103" s="204" t="str">
        <x:f>IF($AA103="","",IF($R103="","No threshold set",IF($AA103&gt;=$R103,"Within configured threshold","Commercial review required")))</x:f>
      </x:c>
      <x:c r="AG103" s="177"/>
    </x:row>
    <x:row r="104">
      <x:c r="A104" s="175"/>
      <x:c r="B104" s="217"/>
      <x:c r="C104" s="176"/>
      <x:c r="D104" s="176"/>
      <x:c r="E104" s="223"/>
      <x:c r="F104" s="253"/>
      <x:c r="G104" s="223"/>
      <x:c r="H104" s="176"/>
      <x:c r="I104" s="223"/>
      <x:c r="J104" s="176"/>
      <x:c r="K104" s="223"/>
      <x:c r="L104" s="176"/>
      <x:c r="M104" s="223"/>
      <x:c r="N104" s="176"/>
      <x:c r="O104" s="223"/>
      <x:c r="P104" s="176"/>
      <x:c r="Q104" s="223"/>
      <x:c r="R104" s="241"/>
      <x:c r="S104" s="229" t="str">
        <x:f>IF(OR($E104="",$F104=""),"",$E104*$F104)</x:f>
      </x:c>
      <x:c r="T104" s="235" t="str">
        <x:f>IF($S104="","",$S104-IF($H104="Percentage",$S104*$I104,$I104)-IF($J104="Percentage",$S104*$K104,$K104))</x:f>
      </x:c>
      <x:c r="U104" s="235" t="str">
        <x:f>IF($T104="","",$T104-IF($L104="Percentage",$T104*$M104,$M104)-IF($N104="Percentage",$T104*$O104,$O104))</x:f>
      </x:c>
      <x:c r="V104" s="235" t="str">
        <x:f>IF(OR($G104="",$F104=""),"",$G104*$F104)</x:f>
      </x:c>
      <x:c r="W104" s="235" t="str">
        <x:f>IF($V104="","",$V104-IF($P104="Percentage",$V104*$Q104,$Q104))</x:f>
      </x:c>
      <x:c r="X104" s="235" t="str">
        <x:f>IF(OR($T104="",$V104=""),"",$T104-$V104)</x:f>
      </x:c>
      <x:c r="Y104" s="247" t="str">
        <x:f>IFERROR($X104/$T104,"")</x:f>
      </x:c>
      <x:c r="Z104" s="235" t="str">
        <x:f>IF(OR($U104="",$W104=""),"",$U104-$W104)</x:f>
      </x:c>
      <x:c r="AA104" s="247" t="str">
        <x:f>IFERROR($Z104/$U104,"")</x:f>
      </x:c>
      <x:c r="AB104" s="235" t="str">
        <x:f>IF(OR($S104="",$U104=""),"",$S104-$U104)</x:f>
      </x:c>
      <x:c r="AC104" s="247" t="str">
        <x:f>IFERROR($AB104/$S104,"")</x:f>
      </x:c>
      <x:c r="AD104" s="247" t="str">
        <x:f>IF(OR($Y104="",$AA104=""),"",$AA104-$Y104)</x:f>
      </x:c>
      <x:c r="AE104" s="199" t="str">
        <x:f>IF($A104="","",IF(IF($H104="Percentage",$S104*$I104,$I104)&gt;=MAX(IF($J104="Percentage",$S104*$K104,$K104),IF($L104="Percentage",$T104*$M104,$M104),IF($N104="Percentage",$T104*$O104,$O104)),"Customer discount",IF(IF($J104="Percentage",$S104*$K104,$K104)&gt;=MAX(IF($L104="Percentage",$T104*$M104,$M104),IF($N104="Percentage",$T104*$O104,$O104)),"Promotional discount",IF(IF($L104="Percentage",$T104*$M104,$M104)&gt;=IF($N104="Percentage",$T104*$O104,$O104),"Freight/service concession","Customer rebate"))))</x:f>
      </x:c>
      <x:c r="AF104" s="204" t="str">
        <x:f>IF($AA104="","",IF($R104="","No threshold set",IF($AA104&gt;=$R104,"Within configured threshold","Commercial review required")))</x:f>
      </x:c>
      <x:c r="AG104" s="177"/>
    </x:row>
    <x:row r="105">
      <x:c r="A105" s="178"/>
      <x:c r="B105" s="218"/>
      <x:c r="C105" s="179"/>
      <x:c r="D105" s="179"/>
      <x:c r="E105" s="224"/>
      <x:c r="F105" s="254"/>
      <x:c r="G105" s="224"/>
      <x:c r="H105" s="179"/>
      <x:c r="I105" s="224"/>
      <x:c r="J105" s="179"/>
      <x:c r="K105" s="224"/>
      <x:c r="L105" s="179"/>
      <x:c r="M105" s="224"/>
      <x:c r="N105" s="179"/>
      <x:c r="O105" s="224"/>
      <x:c r="P105" s="179"/>
      <x:c r="Q105" s="224"/>
      <x:c r="R105" s="242"/>
      <x:c r="S105" s="230" t="str">
        <x:f>IF(OR($E105="",$F105=""),"",$E105*$F105)</x:f>
      </x:c>
      <x:c r="T105" s="236" t="str">
        <x:f>IF($S105="","",$S105-IF($H105="Percentage",$S105*$I105,$I105)-IF($J105="Percentage",$S105*$K105,$K105))</x:f>
      </x:c>
      <x:c r="U105" s="236" t="str">
        <x:f>IF($T105="","",$T105-IF($L105="Percentage",$T105*$M105,$M105)-IF($N105="Percentage",$T105*$O105,$O105))</x:f>
      </x:c>
      <x:c r="V105" s="236" t="str">
        <x:f>IF(OR($G105="",$F105=""),"",$G105*$F105)</x:f>
      </x:c>
      <x:c r="W105" s="236" t="str">
        <x:f>IF($V105="","",$V105-IF($P105="Percentage",$V105*$Q105,$Q105))</x:f>
      </x:c>
      <x:c r="X105" s="236" t="str">
        <x:f>IF(OR($T105="",$V105=""),"",$T105-$V105)</x:f>
      </x:c>
      <x:c r="Y105" s="248" t="str">
        <x:f>IFERROR($X105/$T105,"")</x:f>
      </x:c>
      <x:c r="Z105" s="236" t="str">
        <x:f>IF(OR($U105="",$W105=""),"",$U105-$W105)</x:f>
      </x:c>
      <x:c r="AA105" s="248" t="str">
        <x:f>IFERROR($Z105/$U105,"")</x:f>
      </x:c>
      <x:c r="AB105" s="236" t="str">
        <x:f>IF(OR($S105="",$U105=""),"",$S105-$U105)</x:f>
      </x:c>
      <x:c r="AC105" s="248" t="str">
        <x:f>IFERROR($AB105/$S105,"")</x:f>
      </x:c>
      <x:c r="AD105" s="248" t="str">
        <x:f>IF(OR($Y105="",$AA105=""),"",$AA105-$Y105)</x:f>
      </x:c>
      <x:c r="AE105" s="200" t="str">
        <x:f>IF($A105="","",IF(IF($H105="Percentage",$S105*$I105,$I105)&gt;=MAX(IF($J105="Percentage",$S105*$K105,$K105),IF($L105="Percentage",$T105*$M105,$M105),IF($N105="Percentage",$T105*$O105,$O105)),"Customer discount",IF(IF($J105="Percentage",$S105*$K105,$K105)&gt;=MAX(IF($L105="Percentage",$T105*$M105,$M105),IF($N105="Percentage",$T105*$O105,$O105)),"Promotional discount",IF(IF($L105="Percentage",$T105*$M105,$M105)&gt;=IF($N105="Percentage",$T105*$O105,$O105),"Freight/service concession","Customer rebate"))))</x:f>
      </x:c>
      <x:c r="AF105" s="206" t="str">
        <x:f>IF($AA105="","",IF($R105="","No threshold set",IF($AA105&gt;=$R105,"Within configured threshold","Commercial review required")))</x:f>
      </x:c>
      <x:c r="AG105" s="180"/>
    </x:row>
  </x:sheetData>
  <x:mergeCells>
    <x:mergeCell ref="A1:AG1"/>
    <x:mergeCell ref="A2:AG2"/>
    <x:mergeCell ref="A3:AG3"/>
  </x:mergeCells>
  <x:conditionalFormatting sqref="Z6:Z105">
    <x:cfRule type="cellIs" dxfId="6" priority="1" operator="lessThan">
      <x:formula>0</x:formula>
    </x:cfRule>
  </x:conditionalFormatting>
  <x:conditionalFormatting sqref="A6:AG105">
    <x:cfRule type="expression" dxfId="7" priority="2">
      <x:formula>$AF6="Commercial review required"</x:formula>
    </x:cfRule>
  </x:conditionalFormatting>
  <x:conditionalFormatting sqref="AA6:AA105">
    <x:cfRule type="expression" dxfId="8" priority="3">
      <x:formula>AND($R6&lt;&gt;"",$AA6&lt;$R6)</x:formula>
    </x:cfRule>
  </x:conditionalFormatting>
  <x:conditionalFormatting sqref="AB6:AC105">
    <x:cfRule type="expression" dxfId="9" priority="4">
      <x:formula>AND($R6&lt;&gt;"",$AA6&lt;$R6)</x:formula>
    </x:cfRule>
  </x:conditionalFormatting>
  <x:dataValidations count="6">
    <x:dataValidation type="list" sqref="D6:D105">
      <x:formula1>"EUR,USD,GBP,CAD,AUD,CHF,DKK,NOK,SEK"</x:formula1>
    </x:dataValidation>
    <x:dataValidation type="list" sqref="H6:H105">
      <x:formula1>"Amount,Percentage"</x:formula1>
    </x:dataValidation>
    <x:dataValidation type="list" sqref="J6:J105">
      <x:formula1>"Amount,Percentage"</x:formula1>
    </x:dataValidation>
    <x:dataValidation type="list" sqref="L6:L105">
      <x:formula1>"Amount,Percentage"</x:formula1>
    </x:dataValidation>
    <x:dataValidation type="list" sqref="N6:N105">
      <x:formula1>"Amount,Percentage"</x:formula1>
    </x:dataValidation>
    <x:dataValidation type="list" sqref="P6:P105">
      <x:formula1>"Amount,Percentage"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01f6536567349e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15" hidden="0" customWidth="1"/>
    <x:col min="4" max="4" width="28" hidden="0" customWidth="1"/>
    <x:col min="5" max="5" width="10" hidden="0" customWidth="1"/>
    <x:col min="6" max="6" width="14" hidden="0" customWidth="1"/>
    <x:col min="7" max="7" width="16" hidden="0" customWidth="1"/>
    <x:col min="8" max="8" width="16" hidden="0" customWidth="1"/>
    <x:col min="9" max="9" width="17" hidden="0" customWidth="1"/>
    <x:col min="10" max="10" width="17" hidden="0" customWidth="1"/>
    <x:col min="11" max="11" width="18" hidden="0" customWidth="1"/>
    <x:col min="12" max="12" width="16" hidden="0" customWidth="1"/>
    <x:col min="13" max="13" width="19" hidden="0" customWidth="1"/>
    <x:col min="14" max="14" width="17" hidden="0" customWidth="1"/>
    <x:col min="15" max="15" width="16" hidden="0" customWidth="1"/>
    <x:col min="16" max="16" width="14" hidden="0" customWidth="1"/>
    <x:col min="17" max="17" width="15" hidden="0" customWidth="1"/>
    <x:col min="18" max="18" width="17" hidden="0" customWidth="1"/>
    <x:col min="19" max="19" width="15" hidden="0" customWidth="1"/>
    <x:col min="20" max="20" width="18" hidden="0" customWidth="1"/>
    <x:col min="21" max="21" width="15" hidden="0" customWidth="1"/>
    <x:col min="22" max="22" width="18" hidden="0" customWidth="1"/>
    <x:col min="23" max="23" width="15" hidden="0" customWidth="1"/>
    <x:col min="24" max="24" width="16" hidden="0" customWidth="1"/>
    <x:col min="25" max="25" width="30" hidden="0" customWidth="1"/>
    <x:col min="26" max="26" width="3" hidden="0" customWidth="1"/>
    <x:col min="27" max="27" width="22" hidden="0" customWidth="1"/>
    <x:col min="28" max="28" width="18" hidden="0" customWidth="1"/>
    <x:col min="29" max="29" width="18" hidden="0" customWidth="1"/>
    <x:col min="30" max="30" width="18" hidden="0" customWidth="1"/>
  </x:cols>
  <x:sheetData>
    <x:row r="1" ht="28" customHeight="1">
      <x:c r="A1" s="5" t="str">
        <x:v>Configure to WIN | Multi-line Quote Waterfall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  <x:c r="AB1" s="5"/>
      <x:c r="AC1" s="5"/>
      <x:c r="AD1" s="5"/>
    </x:row>
    <x:row r="2" ht="23" customHeight="1">
      <x:c r="A2" s="14" t="str">
        <x:v>Model a multi-line, multi-vendor quote and calculate quote-level economics from aggregated values.</x:v>
      </x:c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  <x:c r="M2" s="14"/>
      <x:c r="N2" s="14"/>
      <x:c r="O2" s="14"/>
      <x:c r="P2" s="14"/>
      <x:c r="Q2" s="14"/>
      <x:c r="R2" s="14"/>
      <x:c r="S2" s="14"/>
      <x:c r="T2" s="14"/>
      <x:c r="U2" s="14"/>
      <x:c r="V2" s="14"/>
      <x:c r="W2" s="14"/>
      <x:c r="X2" s="14"/>
      <x:c r="Y2" s="14"/>
      <x:c r="Z2" s="14"/>
      <x:c r="AA2" s="14"/>
      <x:c r="AB2" s="14"/>
      <x:c r="AC2" s="14"/>
      <x:c r="AD2" s="14"/>
    </x:row>
    <x:row r="3" ht="30" customHeight="1">
      <x:c r="A3" s="24" t="str">
        <x:v>Quote-level margins are calculated from aggregated monetary values, never by averaging line-level percentages.</x:v>
      </x:c>
      <x:c r="B3" s="24"/>
      <x:c r="C3" s="24"/>
      <x:c r="D3" s="24"/>
      <x:c r="E3" s="24"/>
      <x:c r="F3" s="24"/>
      <x:c r="G3" s="24"/>
      <x:c r="H3" s="24"/>
      <x:c r="I3" s="24"/>
      <x:c r="J3" s="24"/>
      <x:c r="K3" s="24"/>
      <x:c r="L3" s="24"/>
      <x:c r="M3" s="24"/>
      <x:c r="N3" s="24"/>
      <x:c r="O3" s="24"/>
      <x:c r="P3" s="24"/>
      <x:c r="Q3" s="24"/>
      <x:c r="R3" s="24"/>
      <x:c r="S3" s="24"/>
      <x:c r="T3" s="24"/>
      <x:c r="U3" s="24"/>
      <x:c r="V3" s="24"/>
      <x:c r="W3" s="24"/>
      <x:c r="X3" s="24"/>
      <x:c r="Y3" s="24"/>
      <x:c r="Z3" s="24"/>
      <x:c r="AA3" s="24"/>
      <x:c r="AB3" s="24"/>
      <x:c r="AC3" s="24"/>
      <x:c r="AD3" s="24"/>
    </x:row>
    <x:row r="5" ht="24" customHeight="1">
      <x:c r="A5" s="33" t="str">
        <x:v>Quote selection and policy</x:v>
      </x:c>
      <x:c r="B5" s="33"/>
      <x:c r="C5" s="33"/>
      <x:c r="D5" s="33"/>
      <x:c r="E5" s="33"/>
      <x:c r="F5" s="33"/>
      <x:c r="G5" s="33"/>
      <x:c r="H5" s="33"/>
      <x:c r="I5" s="33"/>
      <x:c r="J5" s="33"/>
      <x:c r="K5" s="33"/>
      <x:c r="L5" s="33"/>
      <x:c r="AA5" s="33" t="str">
        <x:v>Selected quote summary</x:v>
      </x:c>
      <x:c r="AB5" s="33"/>
      <x:c r="AC5" s="33"/>
      <x:c r="AD5" s="33"/>
    </x:row>
    <x:row r="6">
      <x:c r="A6" s="40" t="str">
        <x:v>Selected Quote ID</x:v>
      </x:c>
      <x:c r="B6" s="100" t="str">
        <x:v>EXAMPLE-Q-001</x:v>
      </x:c>
      <x:c r="C6" s="121"/>
      <x:c r="D6" s="101"/>
      <x:c r="E6" s="40" t="str">
        <x:v>Customer</x:v>
      </x:c>
      <x:c r="F6" s="100" t="str">
        <x:v>Fictional example customer</x:v>
      </x:c>
      <x:c r="G6" s="121"/>
      <x:c r="H6" s="101"/>
      <x:c r="I6" s="40" t="str">
        <x:v>Quote currency</x:v>
      </x:c>
      <x:c r="J6" s="40" t="str">
        <x:v>EUR</x:v>
      </x:c>
      <x:c r="K6" s="40" t="str">
        <x:v>Minimum pocket margin</x:v>
      </x:c>
      <x:c r="L6" s="118" t="n">
        <x:v>0.27</x:v>
      </x:c>
      <x:c r="AA6" s="40" t="str">
        <x:v>Gross list value</x:v>
      </x:c>
      <x:c r="AB6" s="136" t="str">
        <x:f>IF(COUNTIF($A$9:$A$58,$B$6)=0,"",SUMIF($A$9:$A$58,$B$6,$G$9:$G$58))</x:f>
      </x:c>
      <x:c r="AC6" s="158"/>
      <x:c r="AD6" s="276"/>
    </x:row>
    <x:row r="7" ht="24" customHeight="1">
      <x:c r="A7" s="33" t="str">
        <x:v>Quote line model</x:v>
      </x:c>
      <x:c r="B7" s="33"/>
      <x:c r="C7" s="33"/>
      <x:c r="D7" s="33"/>
      <x:c r="E7" s="33"/>
      <x:c r="F7" s="33"/>
      <x:c r="G7" s="33"/>
      <x:c r="H7" s="33"/>
      <x:c r="I7" s="33"/>
      <x:c r="J7" s="33"/>
      <x:c r="K7" s="33"/>
      <x:c r="L7" s="33"/>
      <x:c r="M7" s="33"/>
      <x:c r="N7" s="33"/>
      <x:c r="O7" s="33"/>
      <x:c r="P7" s="33"/>
      <x:c r="Q7" s="33"/>
      <x:c r="R7" s="33"/>
      <x:c r="S7" s="33"/>
      <x:c r="T7" s="33"/>
      <x:c r="U7" s="33"/>
      <x:c r="V7" s="33"/>
      <x:c r="W7" s="33"/>
      <x:c r="X7" s="33"/>
      <x:c r="Y7" s="33"/>
      <x:c r="AA7" s="40" t="str">
        <x:v>Invoice price</x:v>
      </x:c>
      <x:c r="AB7" s="136" t="str">
        <x:f>IF(COUNTIF($A$9:$A$58,$B$6)=0,"",SUMIF($A$9:$A$58,$B$6,$L$9:$L$58))</x:f>
      </x:c>
      <x:c r="AC7" s="158"/>
      <x:c r="AD7" s="276"/>
    </x:row>
    <x:row r="8" ht="52" customHeight="1">
      <x:c r="A8" s="81" t="str">
        <x:v>Quote ID</x:v>
      </x:c>
      <x:c r="B8" s="82" t="str">
        <x:v>Vendor</x:v>
      </x:c>
      <x:c r="C8" s="82" t="str">
        <x:v>SKU</x:v>
      </x:c>
      <x:c r="D8" s="82" t="str">
        <x:v>Description</x:v>
      </x:c>
      <x:c r="E8" s="82" t="str">
        <x:v>Quantity</x:v>
      </x:c>
      <x:c r="F8" s="82" t="str">
        <x:v>Unit list price</x:v>
      </x:c>
      <x:c r="G8" s="82" t="str">
        <x:v>Gross list value</x:v>
      </x:c>
      <x:c r="H8" s="82" t="str">
        <x:v>Customer discount %</x:v>
      </x:c>
      <x:c r="I8" s="82" t="str">
        <x:v>Customer discount amount</x:v>
      </x:c>
      <x:c r="J8" s="82" t="str">
        <x:v>Promotional discount %</x:v>
      </x:c>
      <x:c r="K8" s="82" t="str">
        <x:v>Promotional discount amount</x:v>
      </x:c>
      <x:c r="L8" s="82" t="str">
        <x:v>Invoice price</x:v>
      </x:c>
      <x:c r="M8" s="82" t="str">
        <x:v>Freight/service concession amount</x:v>
      </x:c>
      <x:c r="N8" s="82" t="str">
        <x:v>Customer rebate amount</x:v>
      </x:c>
      <x:c r="O8" s="82" t="str">
        <x:v>Pocket price</x:v>
      </x:c>
      <x:c r="P8" s="82" t="str">
        <x:v>Unit cost</x:v>
      </x:c>
      <x:c r="Q8" s="82" t="str">
        <x:v>Base cost</x:v>
      </x:c>
      <x:c r="R8" s="82" t="str">
        <x:v>Vendor incentive amount</x:v>
      </x:c>
      <x:c r="S8" s="82" t="str">
        <x:v>Effective cost</x:v>
      </x:c>
      <x:c r="T8" s="82" t="str">
        <x:v>Front-end gross profit</x:v>
      </x:c>
      <x:c r="U8" s="82" t="str">
        <x:v>Front-end margin</x:v>
      </x:c>
      <x:c r="V8" s="82" t="str">
        <x:v>Pocket gross profit</x:v>
      </x:c>
      <x:c r="W8" s="82" t="str">
        <x:v>Pocket margin</x:v>
      </x:c>
      <x:c r="X8" s="82" t="str">
        <x:v>Margin leakage</x:v>
      </x:c>
      <x:c r="Y8" s="83" t="str">
        <x:v>Notes</x:v>
      </x:c>
      <x:c r="AA8" s="40" t="str">
        <x:v>Pocket price</x:v>
      </x:c>
      <x:c r="AB8" s="136" t="str">
        <x:f>IF(COUNTIF($A$9:$A$58,$B$6)=0,"",SUMIF($A$9:$A$58,$B$6,$O$9:$O$58))</x:f>
      </x:c>
      <x:c r="AC8" s="158"/>
      <x:c r="AD8" s="276"/>
    </x:row>
    <x:row r="9">
      <x:c r="A9" s="172"/>
      <x:c r="B9" s="173"/>
      <x:c r="C9" s="173"/>
      <x:c r="D9" s="173"/>
      <x:c r="E9" s="252"/>
      <x:c r="F9" s="222"/>
      <x:c r="G9" s="264" t="str">
        <x:f>IF(OR($E9="",$F9=""),"",$E9*$F9)</x:f>
      </x:c>
      <x:c r="H9" s="240"/>
      <x:c r="I9" s="264" t="str">
        <x:f>IF($G9="","",$G9*$H9)</x:f>
      </x:c>
      <x:c r="J9" s="240"/>
      <x:c r="K9" s="264" t="str">
        <x:f>IF($G9="","",$G9*$J9)</x:f>
      </x:c>
      <x:c r="L9" s="264" t="str">
        <x:f>IF($G9="","",$G9-$I9-$K9)</x:f>
      </x:c>
      <x:c r="M9" s="222"/>
      <x:c r="N9" s="222"/>
      <x:c r="O9" s="264" t="str">
        <x:f>IF($L9="","",$L9-$M9-$N9)</x:f>
      </x:c>
      <x:c r="P9" s="222"/>
      <x:c r="Q9" s="264" t="str">
        <x:f>IF(OR($E9="",$P9=""),"",$E9*$P9)</x:f>
      </x:c>
      <x:c r="R9" s="222"/>
      <x:c r="S9" s="264" t="str">
        <x:f>IF($Q9="","",$Q9-$R9)</x:f>
      </x:c>
      <x:c r="T9" s="264" t="str">
        <x:f>IF(OR($L9="",$Q9=""),"",$L9-$Q9)</x:f>
      </x:c>
      <x:c r="U9" s="270" t="str">
        <x:f>IFERROR($T9/$L9,"")</x:f>
      </x:c>
      <x:c r="V9" s="264" t="str">
        <x:f>IF(OR($O9="",$S9=""),"",$O9-$S9)</x:f>
      </x:c>
      <x:c r="W9" s="270" t="str">
        <x:f>IFERROR($V9/$O9,"")</x:f>
      </x:c>
      <x:c r="X9" s="264" t="str">
        <x:f>IF(OR($G9="",$O9=""),"",$G9-$O9)</x:f>
      </x:c>
      <x:c r="Y9" s="174"/>
      <x:c r="AA9" s="40" t="str">
        <x:v>Base cost</x:v>
      </x:c>
      <x:c r="AB9" s="136" t="str">
        <x:f>IF(COUNTIF($A$9:$A$58,$B$6)=0,"",SUMIF($A$9:$A$58,$B$6,$Q$9:$Q$58))</x:f>
      </x:c>
      <x:c r="AC9" s="158"/>
      <x:c r="AD9" s="276"/>
    </x:row>
    <x:row r="10">
      <x:c r="A10" s="175"/>
      <x:c r="B10" s="176"/>
      <x:c r="C10" s="176"/>
      <x:c r="D10" s="176"/>
      <x:c r="E10" s="253"/>
      <x:c r="F10" s="223"/>
      <x:c r="G10" s="265" t="str">
        <x:f>IF(OR($E10="",$F10=""),"",$E10*$F10)</x:f>
      </x:c>
      <x:c r="H10" s="241"/>
      <x:c r="I10" s="265" t="str">
        <x:f>IF($G10="","",$G10*$H10)</x:f>
      </x:c>
      <x:c r="J10" s="241"/>
      <x:c r="K10" s="265" t="str">
        <x:f>IF($G10="","",$G10*$J10)</x:f>
      </x:c>
      <x:c r="L10" s="265" t="str">
        <x:f>IF($G10="","",$G10-$I10-$K10)</x:f>
      </x:c>
      <x:c r="M10" s="223"/>
      <x:c r="N10" s="223"/>
      <x:c r="O10" s="265" t="str">
        <x:f>IF($L10="","",$L10-$M10-$N10)</x:f>
      </x:c>
      <x:c r="P10" s="223"/>
      <x:c r="Q10" s="265" t="str">
        <x:f>IF(OR($E10="",$P10=""),"",$E10*$P10)</x:f>
      </x:c>
      <x:c r="R10" s="223"/>
      <x:c r="S10" s="265" t="str">
        <x:f>IF($Q10="","",$Q10-$R10)</x:f>
      </x:c>
      <x:c r="T10" s="265" t="str">
        <x:f>IF(OR($L10="",$Q10=""),"",$L10-$Q10)</x:f>
      </x:c>
      <x:c r="U10" s="271" t="str">
        <x:f>IFERROR($T10/$L10,"")</x:f>
      </x:c>
      <x:c r="V10" s="265" t="str">
        <x:f>IF(OR($O10="",$S10=""),"",$O10-$S10)</x:f>
      </x:c>
      <x:c r="W10" s="271" t="str">
        <x:f>IFERROR($V10/$O10,"")</x:f>
      </x:c>
      <x:c r="X10" s="265" t="str">
        <x:f>IF(OR($G10="",$O10=""),"",$G10-$O10)</x:f>
      </x:c>
      <x:c r="Y10" s="177"/>
      <x:c r="AA10" s="40" t="str">
        <x:v>Vendor incentive</x:v>
      </x:c>
      <x:c r="AB10" s="136" t="str">
        <x:f>IF(COUNTIF($A$9:$A$58,$B$6)=0,"",SUMIF($A$9:$A$58,$B$6,$R$9:$R$58))</x:f>
      </x:c>
      <x:c r="AC10" s="158"/>
      <x:c r="AD10" s="276"/>
    </x:row>
    <x:row r="11">
      <x:c r="A11" s="175"/>
      <x:c r="B11" s="176"/>
      <x:c r="C11" s="176"/>
      <x:c r="D11" s="176"/>
      <x:c r="E11" s="253"/>
      <x:c r="F11" s="223"/>
      <x:c r="G11" s="265" t="str">
        <x:f>IF(OR($E11="",$F11=""),"",$E11*$F11)</x:f>
      </x:c>
      <x:c r="H11" s="241"/>
      <x:c r="I11" s="265" t="str">
        <x:f>IF($G11="","",$G11*$H11)</x:f>
      </x:c>
      <x:c r="J11" s="241"/>
      <x:c r="K11" s="265" t="str">
        <x:f>IF($G11="","",$G11*$J11)</x:f>
      </x:c>
      <x:c r="L11" s="265" t="str">
        <x:f>IF($G11="","",$G11-$I11-$K11)</x:f>
      </x:c>
      <x:c r="M11" s="223"/>
      <x:c r="N11" s="223"/>
      <x:c r="O11" s="265" t="str">
        <x:f>IF($L11="","",$L11-$M11-$N11)</x:f>
      </x:c>
      <x:c r="P11" s="223"/>
      <x:c r="Q11" s="265" t="str">
        <x:f>IF(OR($E11="",$P11=""),"",$E11*$P11)</x:f>
      </x:c>
      <x:c r="R11" s="223"/>
      <x:c r="S11" s="265" t="str">
        <x:f>IF($Q11="","",$Q11-$R11)</x:f>
      </x:c>
      <x:c r="T11" s="265" t="str">
        <x:f>IF(OR($L11="",$Q11=""),"",$L11-$Q11)</x:f>
      </x:c>
      <x:c r="U11" s="271" t="str">
        <x:f>IFERROR($T11/$L11,"")</x:f>
      </x:c>
      <x:c r="V11" s="265" t="str">
        <x:f>IF(OR($O11="",$S11=""),"",$O11-$S11)</x:f>
      </x:c>
      <x:c r="W11" s="271" t="str">
        <x:f>IFERROR($V11/$O11,"")</x:f>
      </x:c>
      <x:c r="X11" s="265" t="str">
        <x:f>IF(OR($G11="",$O11=""),"",$G11-$O11)</x:f>
      </x:c>
      <x:c r="Y11" s="177"/>
      <x:c r="AA11" s="40" t="str">
        <x:v>Effective cost</x:v>
      </x:c>
      <x:c r="AB11" s="136" t="str">
        <x:f>IF(COUNTIF($A$9:$A$58,$B$6)=0,"",SUMIF($A$9:$A$58,$B$6,$S$9:$S$58))</x:f>
      </x:c>
      <x:c r="AC11" s="158"/>
      <x:c r="AD11" s="276"/>
    </x:row>
    <x:row r="12">
      <x:c r="A12" s="175"/>
      <x:c r="B12" s="176"/>
      <x:c r="C12" s="176"/>
      <x:c r="D12" s="176"/>
      <x:c r="E12" s="253"/>
      <x:c r="F12" s="223"/>
      <x:c r="G12" s="265" t="str">
        <x:f>IF(OR($E12="",$F12=""),"",$E12*$F12)</x:f>
      </x:c>
      <x:c r="H12" s="241"/>
      <x:c r="I12" s="265" t="str">
        <x:f>IF($G12="","",$G12*$H12)</x:f>
      </x:c>
      <x:c r="J12" s="241"/>
      <x:c r="K12" s="265" t="str">
        <x:f>IF($G12="","",$G12*$J12)</x:f>
      </x:c>
      <x:c r="L12" s="265" t="str">
        <x:f>IF($G12="","",$G12-$I12-$K12)</x:f>
      </x:c>
      <x:c r="M12" s="223"/>
      <x:c r="N12" s="223"/>
      <x:c r="O12" s="265" t="str">
        <x:f>IF($L12="","",$L12-$M12-$N12)</x:f>
      </x:c>
      <x:c r="P12" s="223"/>
      <x:c r="Q12" s="265" t="str">
        <x:f>IF(OR($E12="",$P12=""),"",$E12*$P12)</x:f>
      </x:c>
      <x:c r="R12" s="223"/>
      <x:c r="S12" s="265" t="str">
        <x:f>IF($Q12="","",$Q12-$R12)</x:f>
      </x:c>
      <x:c r="T12" s="265" t="str">
        <x:f>IF(OR($L12="",$Q12=""),"",$L12-$Q12)</x:f>
      </x:c>
      <x:c r="U12" s="271" t="str">
        <x:f>IFERROR($T12/$L12,"")</x:f>
      </x:c>
      <x:c r="V12" s="265" t="str">
        <x:f>IF(OR($O12="",$S12=""),"",$O12-$S12)</x:f>
      </x:c>
      <x:c r="W12" s="271" t="str">
        <x:f>IFERROR($V12/$O12,"")</x:f>
      </x:c>
      <x:c r="X12" s="265" t="str">
        <x:f>IF(OR($G12="",$O12=""),"",$G12-$O12)</x:f>
      </x:c>
      <x:c r="Y12" s="177"/>
      <x:c r="AA12" s="40" t="str">
        <x:v>Front-end gross profit</x:v>
      </x:c>
      <x:c r="AB12" s="136" t="str">
        <x:f>IF(COUNTIF($A$9:$A$58,$B$6)=0,"",SUMIF($A$9:$A$58,$B$6,$T$9:$T$58))</x:f>
      </x:c>
      <x:c r="AC12" s="158"/>
      <x:c r="AD12" s="276"/>
    </x:row>
    <x:row r="13">
      <x:c r="A13" s="175"/>
      <x:c r="B13" s="176"/>
      <x:c r="C13" s="176"/>
      <x:c r="D13" s="176"/>
      <x:c r="E13" s="253"/>
      <x:c r="F13" s="223"/>
      <x:c r="G13" s="265" t="str">
        <x:f>IF(OR($E13="",$F13=""),"",$E13*$F13)</x:f>
      </x:c>
      <x:c r="H13" s="241"/>
      <x:c r="I13" s="265" t="str">
        <x:f>IF($G13="","",$G13*$H13)</x:f>
      </x:c>
      <x:c r="J13" s="241"/>
      <x:c r="K13" s="265" t="str">
        <x:f>IF($G13="","",$G13*$J13)</x:f>
      </x:c>
      <x:c r="L13" s="265" t="str">
        <x:f>IF($G13="","",$G13-$I13-$K13)</x:f>
      </x:c>
      <x:c r="M13" s="223"/>
      <x:c r="N13" s="223"/>
      <x:c r="O13" s="265" t="str">
        <x:f>IF($L13="","",$L13-$M13-$N13)</x:f>
      </x:c>
      <x:c r="P13" s="223"/>
      <x:c r="Q13" s="265" t="str">
        <x:f>IF(OR($E13="",$P13=""),"",$E13*$P13)</x:f>
      </x:c>
      <x:c r="R13" s="223"/>
      <x:c r="S13" s="265" t="str">
        <x:f>IF($Q13="","",$Q13-$R13)</x:f>
      </x:c>
      <x:c r="T13" s="265" t="str">
        <x:f>IF(OR($L13="",$Q13=""),"",$L13-$Q13)</x:f>
      </x:c>
      <x:c r="U13" s="271" t="str">
        <x:f>IFERROR($T13/$L13,"")</x:f>
      </x:c>
      <x:c r="V13" s="265" t="str">
        <x:f>IF(OR($O13="",$S13=""),"",$O13-$S13)</x:f>
      </x:c>
      <x:c r="W13" s="271" t="str">
        <x:f>IFERROR($V13/$O13,"")</x:f>
      </x:c>
      <x:c r="X13" s="265" t="str">
        <x:f>IF(OR($G13="",$O13=""),"",$G13-$O13)</x:f>
      </x:c>
      <x:c r="Y13" s="177"/>
      <x:c r="AA13" s="40" t="str">
        <x:v>Front-end margin</x:v>
      </x:c>
      <x:c r="AB13" s="138" t="str">
        <x:f>IFERROR($AB$12/$AB$7,"")</x:f>
      </x:c>
      <x:c r="AC13" s="146"/>
      <x:c r="AD13" s="147"/>
    </x:row>
    <x:row r="14">
      <x:c r="A14" s="175"/>
      <x:c r="B14" s="176"/>
      <x:c r="C14" s="176"/>
      <x:c r="D14" s="176"/>
      <x:c r="E14" s="253"/>
      <x:c r="F14" s="223"/>
      <x:c r="G14" s="265" t="str">
        <x:f>IF(OR($E14="",$F14=""),"",$E14*$F14)</x:f>
      </x:c>
      <x:c r="H14" s="241"/>
      <x:c r="I14" s="265" t="str">
        <x:f>IF($G14="","",$G14*$H14)</x:f>
      </x:c>
      <x:c r="J14" s="241"/>
      <x:c r="K14" s="265" t="str">
        <x:f>IF($G14="","",$G14*$J14)</x:f>
      </x:c>
      <x:c r="L14" s="265" t="str">
        <x:f>IF($G14="","",$G14-$I14-$K14)</x:f>
      </x:c>
      <x:c r="M14" s="223"/>
      <x:c r="N14" s="223"/>
      <x:c r="O14" s="265" t="str">
        <x:f>IF($L14="","",$L14-$M14-$N14)</x:f>
      </x:c>
      <x:c r="P14" s="223"/>
      <x:c r="Q14" s="265" t="str">
        <x:f>IF(OR($E14="",$P14=""),"",$E14*$P14)</x:f>
      </x:c>
      <x:c r="R14" s="223"/>
      <x:c r="S14" s="265" t="str">
        <x:f>IF($Q14="","",$Q14-$R14)</x:f>
      </x:c>
      <x:c r="T14" s="265" t="str">
        <x:f>IF(OR($L14="",$Q14=""),"",$L14-$Q14)</x:f>
      </x:c>
      <x:c r="U14" s="271" t="str">
        <x:f>IFERROR($T14/$L14,"")</x:f>
      </x:c>
      <x:c r="V14" s="265" t="str">
        <x:f>IF(OR($O14="",$S14=""),"",$O14-$S14)</x:f>
      </x:c>
      <x:c r="W14" s="271" t="str">
        <x:f>IFERROR($V14/$O14,"")</x:f>
      </x:c>
      <x:c r="X14" s="265" t="str">
        <x:f>IF(OR($G14="",$O14=""),"",$G14-$O14)</x:f>
      </x:c>
      <x:c r="Y14" s="177"/>
      <x:c r="AA14" s="40" t="str">
        <x:v>Pocket gross profit</x:v>
      </x:c>
      <x:c r="AB14" s="136" t="str">
        <x:f>IF(COUNTIF($A$9:$A$58,$B$6)=0,"",SUMIF($A$9:$A$58,$B$6,$V$9:$V$58))</x:f>
      </x:c>
      <x:c r="AC14" s="158"/>
      <x:c r="AD14" s="276"/>
    </x:row>
    <x:row r="15">
      <x:c r="A15" s="175"/>
      <x:c r="B15" s="176"/>
      <x:c r="C15" s="176"/>
      <x:c r="D15" s="176"/>
      <x:c r="E15" s="253"/>
      <x:c r="F15" s="223"/>
      <x:c r="G15" s="265" t="str">
        <x:f>IF(OR($E15="",$F15=""),"",$E15*$F15)</x:f>
      </x:c>
      <x:c r="H15" s="241"/>
      <x:c r="I15" s="265" t="str">
        <x:f>IF($G15="","",$G15*$H15)</x:f>
      </x:c>
      <x:c r="J15" s="241"/>
      <x:c r="K15" s="265" t="str">
        <x:f>IF($G15="","",$G15*$J15)</x:f>
      </x:c>
      <x:c r="L15" s="265" t="str">
        <x:f>IF($G15="","",$G15-$I15-$K15)</x:f>
      </x:c>
      <x:c r="M15" s="223"/>
      <x:c r="N15" s="223"/>
      <x:c r="O15" s="265" t="str">
        <x:f>IF($L15="","",$L15-$M15-$N15)</x:f>
      </x:c>
      <x:c r="P15" s="223"/>
      <x:c r="Q15" s="265" t="str">
        <x:f>IF(OR($E15="",$P15=""),"",$E15*$P15)</x:f>
      </x:c>
      <x:c r="R15" s="223"/>
      <x:c r="S15" s="265" t="str">
        <x:f>IF($Q15="","",$Q15-$R15)</x:f>
      </x:c>
      <x:c r="T15" s="265" t="str">
        <x:f>IF(OR($L15="",$Q15=""),"",$L15-$Q15)</x:f>
      </x:c>
      <x:c r="U15" s="271" t="str">
        <x:f>IFERROR($T15/$L15,"")</x:f>
      </x:c>
      <x:c r="V15" s="265" t="str">
        <x:f>IF(OR($O15="",$S15=""),"",$O15-$S15)</x:f>
      </x:c>
      <x:c r="W15" s="271" t="str">
        <x:f>IFERROR($V15/$O15,"")</x:f>
      </x:c>
      <x:c r="X15" s="265" t="str">
        <x:f>IF(OR($G15="",$O15=""),"",$G15-$O15)</x:f>
      </x:c>
      <x:c r="Y15" s="177"/>
      <x:c r="AA15" s="40" t="str">
        <x:v>Pocket margin</x:v>
      </x:c>
      <x:c r="AB15" s="138" t="str">
        <x:f>IFERROR($AB$14/$AB$8,"")</x:f>
      </x:c>
      <x:c r="AC15" s="146"/>
      <x:c r="AD15" s="147"/>
    </x:row>
    <x:row r="16">
      <x:c r="A16" s="175"/>
      <x:c r="B16" s="176"/>
      <x:c r="C16" s="176"/>
      <x:c r="D16" s="176"/>
      <x:c r="E16" s="253"/>
      <x:c r="F16" s="223"/>
      <x:c r="G16" s="265" t="str">
        <x:f>IF(OR($E16="",$F16=""),"",$E16*$F16)</x:f>
      </x:c>
      <x:c r="H16" s="241"/>
      <x:c r="I16" s="265" t="str">
        <x:f>IF($G16="","",$G16*$H16)</x:f>
      </x:c>
      <x:c r="J16" s="241"/>
      <x:c r="K16" s="265" t="str">
        <x:f>IF($G16="","",$G16*$J16)</x:f>
      </x:c>
      <x:c r="L16" s="265" t="str">
        <x:f>IF($G16="","",$G16-$I16-$K16)</x:f>
      </x:c>
      <x:c r="M16" s="223"/>
      <x:c r="N16" s="223"/>
      <x:c r="O16" s="265" t="str">
        <x:f>IF($L16="","",$L16-$M16-$N16)</x:f>
      </x:c>
      <x:c r="P16" s="223"/>
      <x:c r="Q16" s="265" t="str">
        <x:f>IF(OR($E16="",$P16=""),"",$E16*$P16)</x:f>
      </x:c>
      <x:c r="R16" s="223"/>
      <x:c r="S16" s="265" t="str">
        <x:f>IF($Q16="","",$Q16-$R16)</x:f>
      </x:c>
      <x:c r="T16" s="265" t="str">
        <x:f>IF(OR($L16="",$Q16=""),"",$L16-$Q16)</x:f>
      </x:c>
      <x:c r="U16" s="271" t="str">
        <x:f>IFERROR($T16/$L16,"")</x:f>
      </x:c>
      <x:c r="V16" s="265" t="str">
        <x:f>IF(OR($O16="",$S16=""),"",$O16-$S16)</x:f>
      </x:c>
      <x:c r="W16" s="271" t="str">
        <x:f>IFERROR($V16/$O16,"")</x:f>
      </x:c>
      <x:c r="X16" s="265" t="str">
        <x:f>IF(OR($G16="",$O16=""),"",$G16-$O16)</x:f>
      </x:c>
      <x:c r="Y16" s="177"/>
      <x:c r="AA16" s="40" t="str">
        <x:v>Margin leakage</x:v>
      </x:c>
      <x:c r="AB16" s="136" t="str">
        <x:f>IF(COUNTIF($A$9:$A$58,$B$6)=0,"",SUMIF($A$9:$A$58,$B$6,$X$9:$X$58))</x:f>
      </x:c>
      <x:c r="AC16" s="158"/>
      <x:c r="AD16" s="276"/>
    </x:row>
    <x:row r="17">
      <x:c r="A17" s="175"/>
      <x:c r="B17" s="176"/>
      <x:c r="C17" s="176"/>
      <x:c r="D17" s="176"/>
      <x:c r="E17" s="253"/>
      <x:c r="F17" s="223"/>
      <x:c r="G17" s="265" t="str">
        <x:f>IF(OR($E17="",$F17=""),"",$E17*$F17)</x:f>
      </x:c>
      <x:c r="H17" s="241"/>
      <x:c r="I17" s="265" t="str">
        <x:f>IF($G17="","",$G17*$H17)</x:f>
      </x:c>
      <x:c r="J17" s="241"/>
      <x:c r="K17" s="265" t="str">
        <x:f>IF($G17="","",$G17*$J17)</x:f>
      </x:c>
      <x:c r="L17" s="265" t="str">
        <x:f>IF($G17="","",$G17-$I17-$K17)</x:f>
      </x:c>
      <x:c r="M17" s="223"/>
      <x:c r="N17" s="223"/>
      <x:c r="O17" s="265" t="str">
        <x:f>IF($L17="","",$L17-$M17-$N17)</x:f>
      </x:c>
      <x:c r="P17" s="223"/>
      <x:c r="Q17" s="265" t="str">
        <x:f>IF(OR($E17="",$P17=""),"",$E17*$P17)</x:f>
      </x:c>
      <x:c r="R17" s="223"/>
      <x:c r="S17" s="265" t="str">
        <x:f>IF($Q17="","",$Q17-$R17)</x:f>
      </x:c>
      <x:c r="T17" s="265" t="str">
        <x:f>IF(OR($L17="",$Q17=""),"",$L17-$Q17)</x:f>
      </x:c>
      <x:c r="U17" s="271" t="str">
        <x:f>IFERROR($T17/$L17,"")</x:f>
      </x:c>
      <x:c r="V17" s="265" t="str">
        <x:f>IF(OR($O17="",$S17=""),"",$O17-$S17)</x:f>
      </x:c>
      <x:c r="W17" s="271" t="str">
        <x:f>IFERROR($V17/$O17,"")</x:f>
      </x:c>
      <x:c r="X17" s="265" t="str">
        <x:f>IF(OR($G17="",$O17=""),"",$G17-$O17)</x:f>
      </x:c>
      <x:c r="Y17" s="177"/>
      <x:c r="AA17" s="40" t="str">
        <x:v>Leakage percentage</x:v>
      </x:c>
      <x:c r="AB17" s="138" t="str">
        <x:f>IFERROR($AB$16/$AB$6,"")</x:f>
      </x:c>
      <x:c r="AC17" s="146"/>
      <x:c r="AD17" s="147"/>
    </x:row>
    <x:row r="18">
      <x:c r="A18" s="175"/>
      <x:c r="B18" s="176"/>
      <x:c r="C18" s="176"/>
      <x:c r="D18" s="176"/>
      <x:c r="E18" s="253"/>
      <x:c r="F18" s="223"/>
      <x:c r="G18" s="265" t="str">
        <x:f>IF(OR($E18="",$F18=""),"",$E18*$F18)</x:f>
      </x:c>
      <x:c r="H18" s="241"/>
      <x:c r="I18" s="265" t="str">
        <x:f>IF($G18="","",$G18*$H18)</x:f>
      </x:c>
      <x:c r="J18" s="241"/>
      <x:c r="K18" s="265" t="str">
        <x:f>IF($G18="","",$G18*$J18)</x:f>
      </x:c>
      <x:c r="L18" s="265" t="str">
        <x:f>IF($G18="","",$G18-$I18-$K18)</x:f>
      </x:c>
      <x:c r="M18" s="223"/>
      <x:c r="N18" s="223"/>
      <x:c r="O18" s="265" t="str">
        <x:f>IF($L18="","",$L18-$M18-$N18)</x:f>
      </x:c>
      <x:c r="P18" s="223"/>
      <x:c r="Q18" s="265" t="str">
        <x:f>IF(OR($E18="",$P18=""),"",$E18*$P18)</x:f>
      </x:c>
      <x:c r="R18" s="223"/>
      <x:c r="S18" s="265" t="str">
        <x:f>IF($Q18="","",$Q18-$R18)</x:f>
      </x:c>
      <x:c r="T18" s="265" t="str">
        <x:f>IF(OR($L18="",$Q18=""),"",$L18-$Q18)</x:f>
      </x:c>
      <x:c r="U18" s="271" t="str">
        <x:f>IFERROR($T18/$L18,"")</x:f>
      </x:c>
      <x:c r="V18" s="265" t="str">
        <x:f>IF(OR($O18="",$S18=""),"",$O18-$S18)</x:f>
      </x:c>
      <x:c r="W18" s="271" t="str">
        <x:f>IFERROR($V18/$O18,"")</x:f>
      </x:c>
      <x:c r="X18" s="265" t="str">
        <x:f>IF(OR($G18="",$O18=""),"",$G18-$O18)</x:f>
      </x:c>
      <x:c r="Y18" s="177"/>
      <x:c r="AA18" s="40" t="str">
        <x:v>Approval signal</x:v>
      </x:c>
      <x:c r="AB18" s="127" t="str">
        <x:f>IF($AB$15="","",IF($L$6="","No threshold set",IF($AB$15&gt;=$L$6,"Within configured threshold","Commercial review required")))</x:f>
      </x:c>
      <x:c r="AC18" s="128"/>
      <x:c r="AD18" s="129"/>
    </x:row>
    <x:row r="19">
      <x:c r="A19" s="175"/>
      <x:c r="B19" s="176"/>
      <x:c r="C19" s="176"/>
      <x:c r="D19" s="176"/>
      <x:c r="E19" s="253"/>
      <x:c r="F19" s="223"/>
      <x:c r="G19" s="265" t="str">
        <x:f>IF(OR($E19="",$F19=""),"",$E19*$F19)</x:f>
      </x:c>
      <x:c r="H19" s="241"/>
      <x:c r="I19" s="265" t="str">
        <x:f>IF($G19="","",$G19*$H19)</x:f>
      </x:c>
      <x:c r="J19" s="241"/>
      <x:c r="K19" s="265" t="str">
        <x:f>IF($G19="","",$G19*$J19)</x:f>
      </x:c>
      <x:c r="L19" s="265" t="str">
        <x:f>IF($G19="","",$G19-$I19-$K19)</x:f>
      </x:c>
      <x:c r="M19" s="223"/>
      <x:c r="N19" s="223"/>
      <x:c r="O19" s="265" t="str">
        <x:f>IF($L19="","",$L19-$M19-$N19)</x:f>
      </x:c>
      <x:c r="P19" s="223"/>
      <x:c r="Q19" s="265" t="str">
        <x:f>IF(OR($E19="",$P19=""),"",$E19*$P19)</x:f>
      </x:c>
      <x:c r="R19" s="223"/>
      <x:c r="S19" s="265" t="str">
        <x:f>IF($Q19="","",$Q19-$R19)</x:f>
      </x:c>
      <x:c r="T19" s="265" t="str">
        <x:f>IF(OR($L19="",$Q19=""),"",$L19-$Q19)</x:f>
      </x:c>
      <x:c r="U19" s="271" t="str">
        <x:f>IFERROR($T19/$L19,"")</x:f>
      </x:c>
      <x:c r="V19" s="265" t="str">
        <x:f>IF(OR($O19="",$S19=""),"",$O19-$S19)</x:f>
      </x:c>
      <x:c r="W19" s="271" t="str">
        <x:f>IFERROR($V19/$O19,"")</x:f>
      </x:c>
      <x:c r="X19" s="265" t="str">
        <x:f>IF(OR($G19="",$O19=""),"",$G19-$O19)</x:f>
      </x:c>
      <x:c r="Y19" s="177"/>
    </x:row>
    <x:row r="20" ht="24" customHeight="1">
      <x:c r="A20" s="175"/>
      <x:c r="B20" s="176"/>
      <x:c r="C20" s="176"/>
      <x:c r="D20" s="176"/>
      <x:c r="E20" s="253"/>
      <x:c r="F20" s="223"/>
      <x:c r="G20" s="265" t="str">
        <x:f>IF(OR($E20="",$F20=""),"",$E20*$F20)</x:f>
      </x:c>
      <x:c r="H20" s="241"/>
      <x:c r="I20" s="265" t="str">
        <x:f>IF($G20="","",$G20*$H20)</x:f>
      </x:c>
      <x:c r="J20" s="241"/>
      <x:c r="K20" s="265" t="str">
        <x:f>IF($G20="","",$G20*$J20)</x:f>
      </x:c>
      <x:c r="L20" s="265" t="str">
        <x:f>IF($G20="","",$G20-$I20-$K20)</x:f>
      </x:c>
      <x:c r="M20" s="223"/>
      <x:c r="N20" s="223"/>
      <x:c r="O20" s="265" t="str">
        <x:f>IF($L20="","",$L20-$M20-$N20)</x:f>
      </x:c>
      <x:c r="P20" s="223"/>
      <x:c r="Q20" s="265" t="str">
        <x:f>IF(OR($E20="",$P20=""),"",$E20*$P20)</x:f>
      </x:c>
      <x:c r="R20" s="223"/>
      <x:c r="S20" s="265" t="str">
        <x:f>IF($Q20="","",$Q20-$R20)</x:f>
      </x:c>
      <x:c r="T20" s="265" t="str">
        <x:f>IF(OR($L20="",$Q20=""),"",$L20-$Q20)</x:f>
      </x:c>
      <x:c r="U20" s="271" t="str">
        <x:f>IFERROR($T20/$L20,"")</x:f>
      </x:c>
      <x:c r="V20" s="265" t="str">
        <x:f>IF(OR($O20="",$S20=""),"",$O20-$S20)</x:f>
      </x:c>
      <x:c r="W20" s="271" t="str">
        <x:f>IFERROR($V20/$O20,"")</x:f>
      </x:c>
      <x:c r="X20" s="265" t="str">
        <x:f>IF(OR($G20="",$O20=""),"",$G20-$O20)</x:f>
      </x:c>
      <x:c r="Y20" s="177"/>
      <x:c r="AA20" s="33" t="str">
        <x:v>Configure to WIN resources</x:v>
      </x:c>
      <x:c r="AB20" s="33"/>
      <x:c r="AC20" s="33"/>
      <x:c r="AD20" s="33"/>
    </x:row>
    <x:row r="21">
      <x:c r="A21" s="175"/>
      <x:c r="B21" s="176"/>
      <x:c r="C21" s="176"/>
      <x:c r="D21" s="176"/>
      <x:c r="E21" s="253"/>
      <x:c r="F21" s="223"/>
      <x:c r="G21" s="265" t="str">
        <x:f>IF(OR($E21="",$F21=""),"",$E21*$F21)</x:f>
      </x:c>
      <x:c r="H21" s="241"/>
      <x:c r="I21" s="265" t="str">
        <x:f>IF($G21="","",$G21*$H21)</x:f>
      </x:c>
      <x:c r="J21" s="241"/>
      <x:c r="K21" s="265" t="str">
        <x:f>IF($G21="","",$G21*$J21)</x:f>
      </x:c>
      <x:c r="L21" s="265" t="str">
        <x:f>IF($G21="","",$G21-$I21-$K21)</x:f>
      </x:c>
      <x:c r="M21" s="223"/>
      <x:c r="N21" s="223"/>
      <x:c r="O21" s="265" t="str">
        <x:f>IF($L21="","",$L21-$M21-$N21)</x:f>
      </x:c>
      <x:c r="P21" s="223"/>
      <x:c r="Q21" s="265" t="str">
        <x:f>IF(OR($E21="",$P21=""),"",$E21*$P21)</x:f>
      </x:c>
      <x:c r="R21" s="223"/>
      <x:c r="S21" s="265" t="str">
        <x:f>IF($Q21="","",$Q21-$R21)</x:f>
      </x:c>
      <x:c r="T21" s="265" t="str">
        <x:f>IF(OR($L21="",$Q21=""),"",$L21-$Q21)</x:f>
      </x:c>
      <x:c r="U21" s="271" t="str">
        <x:f>IFERROR($T21/$L21,"")</x:f>
      </x:c>
      <x:c r="V21" s="265" t="str">
        <x:f>IF(OR($O21="",$S21=""),"",$O21-$S21)</x:f>
      </x:c>
      <x:c r="W21" s="271" t="str">
        <x:f>IFERROR($V21/$O21,"")</x:f>
      </x:c>
      <x:c r="X21" s="265" t="str">
        <x:f>IF(OR($G21="",$O21=""),"",$G21-$O21)</x:f>
      </x:c>
      <x:c r="Y21" s="177"/>
      <x:c r="AA21" s="485" t="str">
        <x:v>https://configure.win/resources/price-waterfall-calculator</x:v>
      </x:c>
    </x:row>
    <x:row r="22">
      <x:c r="A22" s="175"/>
      <x:c r="B22" s="176"/>
      <x:c r="C22" s="176"/>
      <x:c r="D22" s="176"/>
      <x:c r="E22" s="253"/>
      <x:c r="F22" s="223"/>
      <x:c r="G22" s="265" t="str">
        <x:f>IF(OR($E22="",$F22=""),"",$E22*$F22)</x:f>
      </x:c>
      <x:c r="H22" s="241"/>
      <x:c r="I22" s="265" t="str">
        <x:f>IF($G22="","",$G22*$H22)</x:f>
      </x:c>
      <x:c r="J22" s="241"/>
      <x:c r="K22" s="265" t="str">
        <x:f>IF($G22="","",$G22*$J22)</x:f>
      </x:c>
      <x:c r="L22" s="265" t="str">
        <x:f>IF($G22="","",$G22-$I22-$K22)</x:f>
      </x:c>
      <x:c r="M22" s="223"/>
      <x:c r="N22" s="223"/>
      <x:c r="O22" s="265" t="str">
        <x:f>IF($L22="","",$L22-$M22-$N22)</x:f>
      </x:c>
      <x:c r="P22" s="223"/>
      <x:c r="Q22" s="265" t="str">
        <x:f>IF(OR($E22="",$P22=""),"",$E22*$P22)</x:f>
      </x:c>
      <x:c r="R22" s="223"/>
      <x:c r="S22" s="265" t="str">
        <x:f>IF($Q22="","",$Q22-$R22)</x:f>
      </x:c>
      <x:c r="T22" s="265" t="str">
        <x:f>IF(OR($L22="",$Q22=""),"",$L22-$Q22)</x:f>
      </x:c>
      <x:c r="U22" s="271" t="str">
        <x:f>IFERROR($T22/$L22,"")</x:f>
      </x:c>
      <x:c r="V22" s="265" t="str">
        <x:f>IF(OR($O22="",$S22=""),"",$O22-$S22)</x:f>
      </x:c>
      <x:c r="W22" s="271" t="str">
        <x:f>IFERROR($V22/$O22,"")</x:f>
      </x:c>
      <x:c r="X22" s="265" t="str">
        <x:f>IF(OR($G22="",$O22=""),"",$G22-$O22)</x:f>
      </x:c>
      <x:c r="Y22" s="177"/>
      <x:c r="AA22" s="485" t="str">
        <x:v>https://configure.win/price-waterfall-software</x:v>
      </x:c>
    </x:row>
    <x:row r="23">
      <x:c r="A23" s="175"/>
      <x:c r="B23" s="176"/>
      <x:c r="C23" s="176"/>
      <x:c r="D23" s="176"/>
      <x:c r="E23" s="253"/>
      <x:c r="F23" s="223"/>
      <x:c r="G23" s="265" t="str">
        <x:f>IF(OR($E23="",$F23=""),"",$E23*$F23)</x:f>
      </x:c>
      <x:c r="H23" s="241"/>
      <x:c r="I23" s="265" t="str">
        <x:f>IF($G23="","",$G23*$H23)</x:f>
      </x:c>
      <x:c r="J23" s="241"/>
      <x:c r="K23" s="265" t="str">
        <x:f>IF($G23="","",$G23*$J23)</x:f>
      </x:c>
      <x:c r="L23" s="265" t="str">
        <x:f>IF($G23="","",$G23-$I23-$K23)</x:f>
      </x:c>
      <x:c r="M23" s="223"/>
      <x:c r="N23" s="223"/>
      <x:c r="O23" s="265" t="str">
        <x:f>IF($L23="","",$L23-$M23-$N23)</x:f>
      </x:c>
      <x:c r="P23" s="223"/>
      <x:c r="Q23" s="265" t="str">
        <x:f>IF(OR($E23="",$P23=""),"",$E23*$P23)</x:f>
      </x:c>
      <x:c r="R23" s="223"/>
      <x:c r="S23" s="265" t="str">
        <x:f>IF($Q23="","",$Q23-$R23)</x:f>
      </x:c>
      <x:c r="T23" s="265" t="str">
        <x:f>IF(OR($L23="",$Q23=""),"",$L23-$Q23)</x:f>
      </x:c>
      <x:c r="U23" s="271" t="str">
        <x:f>IFERROR($T23/$L23,"")</x:f>
      </x:c>
      <x:c r="V23" s="265" t="str">
        <x:f>IF(OR($O23="",$S23=""),"",$O23-$S23)</x:f>
      </x:c>
      <x:c r="W23" s="271" t="str">
        <x:f>IFERROR($V23/$O23,"")</x:f>
      </x:c>
      <x:c r="X23" s="265" t="str">
        <x:f>IF(OR($G23="",$O23=""),"",$G23-$O23)</x:f>
      </x:c>
      <x:c r="Y23" s="177"/>
    </x:row>
    <x:row r="24">
      <x:c r="A24" s="175"/>
      <x:c r="B24" s="176"/>
      <x:c r="C24" s="176"/>
      <x:c r="D24" s="176"/>
      <x:c r="E24" s="253"/>
      <x:c r="F24" s="223"/>
      <x:c r="G24" s="265" t="str">
        <x:f>IF(OR($E24="",$F24=""),"",$E24*$F24)</x:f>
      </x:c>
      <x:c r="H24" s="241"/>
      <x:c r="I24" s="265" t="str">
        <x:f>IF($G24="","",$G24*$H24)</x:f>
      </x:c>
      <x:c r="J24" s="241"/>
      <x:c r="K24" s="265" t="str">
        <x:f>IF($G24="","",$G24*$J24)</x:f>
      </x:c>
      <x:c r="L24" s="265" t="str">
        <x:f>IF($G24="","",$G24-$I24-$K24)</x:f>
      </x:c>
      <x:c r="M24" s="223"/>
      <x:c r="N24" s="223"/>
      <x:c r="O24" s="265" t="str">
        <x:f>IF($L24="","",$L24-$M24-$N24)</x:f>
      </x:c>
      <x:c r="P24" s="223"/>
      <x:c r="Q24" s="265" t="str">
        <x:f>IF(OR($E24="",$P24=""),"",$E24*$P24)</x:f>
      </x:c>
      <x:c r="R24" s="223"/>
      <x:c r="S24" s="265" t="str">
        <x:f>IF($Q24="","",$Q24-$R24)</x:f>
      </x:c>
      <x:c r="T24" s="265" t="str">
        <x:f>IF(OR($L24="",$Q24=""),"",$L24-$Q24)</x:f>
      </x:c>
      <x:c r="U24" s="271" t="str">
        <x:f>IFERROR($T24/$L24,"")</x:f>
      </x:c>
      <x:c r="V24" s="265" t="str">
        <x:f>IF(OR($O24="",$S24=""),"",$O24-$S24)</x:f>
      </x:c>
      <x:c r="W24" s="271" t="str">
        <x:f>IFERROR($V24/$O24,"")</x:f>
      </x:c>
      <x:c r="X24" s="265" t="str">
        <x:f>IF(OR($G24="",$O24=""),"",$G24-$O24)</x:f>
      </x:c>
      <x:c r="Y24" s="177"/>
    </x:row>
    <x:row r="25">
      <x:c r="A25" s="175"/>
      <x:c r="B25" s="176"/>
      <x:c r="C25" s="176"/>
      <x:c r="D25" s="176"/>
      <x:c r="E25" s="253"/>
      <x:c r="F25" s="223"/>
      <x:c r="G25" s="265" t="str">
        <x:f>IF(OR($E25="",$F25=""),"",$E25*$F25)</x:f>
      </x:c>
      <x:c r="H25" s="241"/>
      <x:c r="I25" s="265" t="str">
        <x:f>IF($G25="","",$G25*$H25)</x:f>
      </x:c>
      <x:c r="J25" s="241"/>
      <x:c r="K25" s="265" t="str">
        <x:f>IF($G25="","",$G25*$J25)</x:f>
      </x:c>
      <x:c r="L25" s="265" t="str">
        <x:f>IF($G25="","",$G25-$I25-$K25)</x:f>
      </x:c>
      <x:c r="M25" s="223"/>
      <x:c r="N25" s="223"/>
      <x:c r="O25" s="265" t="str">
        <x:f>IF($L25="","",$L25-$M25-$N25)</x:f>
      </x:c>
      <x:c r="P25" s="223"/>
      <x:c r="Q25" s="265" t="str">
        <x:f>IF(OR($E25="",$P25=""),"",$E25*$P25)</x:f>
      </x:c>
      <x:c r="R25" s="223"/>
      <x:c r="S25" s="265" t="str">
        <x:f>IF($Q25="","",$Q25-$R25)</x:f>
      </x:c>
      <x:c r="T25" s="265" t="str">
        <x:f>IF(OR($L25="",$Q25=""),"",$L25-$Q25)</x:f>
      </x:c>
      <x:c r="U25" s="271" t="str">
        <x:f>IFERROR($T25/$L25,"")</x:f>
      </x:c>
      <x:c r="V25" s="265" t="str">
        <x:f>IF(OR($O25="",$S25=""),"",$O25-$S25)</x:f>
      </x:c>
      <x:c r="W25" s="271" t="str">
        <x:f>IFERROR($V25/$O25,"")</x:f>
      </x:c>
      <x:c r="X25" s="265" t="str">
        <x:f>IF(OR($G25="",$O25=""),"",$G25-$O25)</x:f>
      </x:c>
      <x:c r="Y25" s="177"/>
    </x:row>
    <x:row r="26">
      <x:c r="A26" s="175"/>
      <x:c r="B26" s="176"/>
      <x:c r="C26" s="176"/>
      <x:c r="D26" s="176"/>
      <x:c r="E26" s="253"/>
      <x:c r="F26" s="223"/>
      <x:c r="G26" s="265" t="str">
        <x:f>IF(OR($E26="",$F26=""),"",$E26*$F26)</x:f>
      </x:c>
      <x:c r="H26" s="241"/>
      <x:c r="I26" s="265" t="str">
        <x:f>IF($G26="","",$G26*$H26)</x:f>
      </x:c>
      <x:c r="J26" s="241"/>
      <x:c r="K26" s="265" t="str">
        <x:f>IF($G26="","",$G26*$J26)</x:f>
      </x:c>
      <x:c r="L26" s="265" t="str">
        <x:f>IF($G26="","",$G26-$I26-$K26)</x:f>
      </x:c>
      <x:c r="M26" s="223"/>
      <x:c r="N26" s="223"/>
      <x:c r="O26" s="265" t="str">
        <x:f>IF($L26="","",$L26-$M26-$N26)</x:f>
      </x:c>
      <x:c r="P26" s="223"/>
      <x:c r="Q26" s="265" t="str">
        <x:f>IF(OR($E26="",$P26=""),"",$E26*$P26)</x:f>
      </x:c>
      <x:c r="R26" s="223"/>
      <x:c r="S26" s="265" t="str">
        <x:f>IF($Q26="","",$Q26-$R26)</x:f>
      </x:c>
      <x:c r="T26" s="265" t="str">
        <x:f>IF(OR($L26="",$Q26=""),"",$L26-$Q26)</x:f>
      </x:c>
      <x:c r="U26" s="271" t="str">
        <x:f>IFERROR($T26/$L26,"")</x:f>
      </x:c>
      <x:c r="V26" s="265" t="str">
        <x:f>IF(OR($O26="",$S26=""),"",$O26-$S26)</x:f>
      </x:c>
      <x:c r="W26" s="271" t="str">
        <x:f>IFERROR($V26/$O26,"")</x:f>
      </x:c>
      <x:c r="X26" s="265" t="str">
        <x:f>IF(OR($G26="",$O26=""),"",$G26-$O26)</x:f>
      </x:c>
      <x:c r="Y26" s="177"/>
    </x:row>
    <x:row r="27">
      <x:c r="A27" s="175"/>
      <x:c r="B27" s="176"/>
      <x:c r="C27" s="176"/>
      <x:c r="D27" s="176"/>
      <x:c r="E27" s="253"/>
      <x:c r="F27" s="223"/>
      <x:c r="G27" s="265" t="str">
        <x:f>IF(OR($E27="",$F27=""),"",$E27*$F27)</x:f>
      </x:c>
      <x:c r="H27" s="241"/>
      <x:c r="I27" s="265" t="str">
        <x:f>IF($G27="","",$G27*$H27)</x:f>
      </x:c>
      <x:c r="J27" s="241"/>
      <x:c r="K27" s="265" t="str">
        <x:f>IF($G27="","",$G27*$J27)</x:f>
      </x:c>
      <x:c r="L27" s="265" t="str">
        <x:f>IF($G27="","",$G27-$I27-$K27)</x:f>
      </x:c>
      <x:c r="M27" s="223"/>
      <x:c r="N27" s="223"/>
      <x:c r="O27" s="265" t="str">
        <x:f>IF($L27="","",$L27-$M27-$N27)</x:f>
      </x:c>
      <x:c r="P27" s="223"/>
      <x:c r="Q27" s="265" t="str">
        <x:f>IF(OR($E27="",$P27=""),"",$E27*$P27)</x:f>
      </x:c>
      <x:c r="R27" s="223"/>
      <x:c r="S27" s="265" t="str">
        <x:f>IF($Q27="","",$Q27-$R27)</x:f>
      </x:c>
      <x:c r="T27" s="265" t="str">
        <x:f>IF(OR($L27="",$Q27=""),"",$L27-$Q27)</x:f>
      </x:c>
      <x:c r="U27" s="271" t="str">
        <x:f>IFERROR($T27/$L27,"")</x:f>
      </x:c>
      <x:c r="V27" s="265" t="str">
        <x:f>IF(OR($O27="",$S27=""),"",$O27-$S27)</x:f>
      </x:c>
      <x:c r="W27" s="271" t="str">
        <x:f>IFERROR($V27/$O27,"")</x:f>
      </x:c>
      <x:c r="X27" s="265" t="str">
        <x:f>IF(OR($G27="",$O27=""),"",$G27-$O27)</x:f>
      </x:c>
      <x:c r="Y27" s="177"/>
    </x:row>
    <x:row r="28">
      <x:c r="A28" s="175"/>
      <x:c r="B28" s="176"/>
      <x:c r="C28" s="176"/>
      <x:c r="D28" s="176"/>
      <x:c r="E28" s="253"/>
      <x:c r="F28" s="223"/>
      <x:c r="G28" s="265" t="str">
        <x:f>IF(OR($E28="",$F28=""),"",$E28*$F28)</x:f>
      </x:c>
      <x:c r="H28" s="241"/>
      <x:c r="I28" s="265" t="str">
        <x:f>IF($G28="","",$G28*$H28)</x:f>
      </x:c>
      <x:c r="J28" s="241"/>
      <x:c r="K28" s="265" t="str">
        <x:f>IF($G28="","",$G28*$J28)</x:f>
      </x:c>
      <x:c r="L28" s="265" t="str">
        <x:f>IF($G28="","",$G28-$I28-$K28)</x:f>
      </x:c>
      <x:c r="M28" s="223"/>
      <x:c r="N28" s="223"/>
      <x:c r="O28" s="265" t="str">
        <x:f>IF($L28="","",$L28-$M28-$N28)</x:f>
      </x:c>
      <x:c r="P28" s="223"/>
      <x:c r="Q28" s="265" t="str">
        <x:f>IF(OR($E28="",$P28=""),"",$E28*$P28)</x:f>
      </x:c>
      <x:c r="R28" s="223"/>
      <x:c r="S28" s="265" t="str">
        <x:f>IF($Q28="","",$Q28-$R28)</x:f>
      </x:c>
      <x:c r="T28" s="265" t="str">
        <x:f>IF(OR($L28="",$Q28=""),"",$L28-$Q28)</x:f>
      </x:c>
      <x:c r="U28" s="271" t="str">
        <x:f>IFERROR($T28/$L28,"")</x:f>
      </x:c>
      <x:c r="V28" s="265" t="str">
        <x:f>IF(OR($O28="",$S28=""),"",$O28-$S28)</x:f>
      </x:c>
      <x:c r="W28" s="271" t="str">
        <x:f>IFERROR($V28/$O28,"")</x:f>
      </x:c>
      <x:c r="X28" s="265" t="str">
        <x:f>IF(OR($G28="",$O28=""),"",$G28-$O28)</x:f>
      </x:c>
      <x:c r="Y28" s="177"/>
    </x:row>
    <x:row r="29">
      <x:c r="A29" s="175"/>
      <x:c r="B29" s="176"/>
      <x:c r="C29" s="176"/>
      <x:c r="D29" s="176"/>
      <x:c r="E29" s="253"/>
      <x:c r="F29" s="223"/>
      <x:c r="G29" s="265" t="str">
        <x:f>IF(OR($E29="",$F29=""),"",$E29*$F29)</x:f>
      </x:c>
      <x:c r="H29" s="241"/>
      <x:c r="I29" s="265" t="str">
        <x:f>IF($G29="","",$G29*$H29)</x:f>
      </x:c>
      <x:c r="J29" s="241"/>
      <x:c r="K29" s="265" t="str">
        <x:f>IF($G29="","",$G29*$J29)</x:f>
      </x:c>
      <x:c r="L29" s="265" t="str">
        <x:f>IF($G29="","",$G29-$I29-$K29)</x:f>
      </x:c>
      <x:c r="M29" s="223"/>
      <x:c r="N29" s="223"/>
      <x:c r="O29" s="265" t="str">
        <x:f>IF($L29="","",$L29-$M29-$N29)</x:f>
      </x:c>
      <x:c r="P29" s="223"/>
      <x:c r="Q29" s="265" t="str">
        <x:f>IF(OR($E29="",$P29=""),"",$E29*$P29)</x:f>
      </x:c>
      <x:c r="R29" s="223"/>
      <x:c r="S29" s="265" t="str">
        <x:f>IF($Q29="","",$Q29-$R29)</x:f>
      </x:c>
      <x:c r="T29" s="265" t="str">
        <x:f>IF(OR($L29="",$Q29=""),"",$L29-$Q29)</x:f>
      </x:c>
      <x:c r="U29" s="271" t="str">
        <x:f>IFERROR($T29/$L29,"")</x:f>
      </x:c>
      <x:c r="V29" s="265" t="str">
        <x:f>IF(OR($O29="",$S29=""),"",$O29-$S29)</x:f>
      </x:c>
      <x:c r="W29" s="271" t="str">
        <x:f>IFERROR($V29/$O29,"")</x:f>
      </x:c>
      <x:c r="X29" s="265" t="str">
        <x:f>IF(OR($G29="",$O29=""),"",$G29-$O29)</x:f>
      </x:c>
      <x:c r="Y29" s="177"/>
    </x:row>
    <x:row r="30">
      <x:c r="A30" s="175"/>
      <x:c r="B30" s="176"/>
      <x:c r="C30" s="176"/>
      <x:c r="D30" s="176"/>
      <x:c r="E30" s="253"/>
      <x:c r="F30" s="223"/>
      <x:c r="G30" s="265" t="str">
        <x:f>IF(OR($E30="",$F30=""),"",$E30*$F30)</x:f>
      </x:c>
      <x:c r="H30" s="241"/>
      <x:c r="I30" s="265" t="str">
        <x:f>IF($G30="","",$G30*$H30)</x:f>
      </x:c>
      <x:c r="J30" s="241"/>
      <x:c r="K30" s="265" t="str">
        <x:f>IF($G30="","",$G30*$J30)</x:f>
      </x:c>
      <x:c r="L30" s="265" t="str">
        <x:f>IF($G30="","",$G30-$I30-$K30)</x:f>
      </x:c>
      <x:c r="M30" s="223"/>
      <x:c r="N30" s="223"/>
      <x:c r="O30" s="265" t="str">
        <x:f>IF($L30="","",$L30-$M30-$N30)</x:f>
      </x:c>
      <x:c r="P30" s="223"/>
      <x:c r="Q30" s="265" t="str">
        <x:f>IF(OR($E30="",$P30=""),"",$E30*$P30)</x:f>
      </x:c>
      <x:c r="R30" s="223"/>
      <x:c r="S30" s="265" t="str">
        <x:f>IF($Q30="","",$Q30-$R30)</x:f>
      </x:c>
      <x:c r="T30" s="265" t="str">
        <x:f>IF(OR($L30="",$Q30=""),"",$L30-$Q30)</x:f>
      </x:c>
      <x:c r="U30" s="271" t="str">
        <x:f>IFERROR($T30/$L30,"")</x:f>
      </x:c>
      <x:c r="V30" s="265" t="str">
        <x:f>IF(OR($O30="",$S30=""),"",$O30-$S30)</x:f>
      </x:c>
      <x:c r="W30" s="271" t="str">
        <x:f>IFERROR($V30/$O30,"")</x:f>
      </x:c>
      <x:c r="X30" s="265" t="str">
        <x:f>IF(OR($G30="",$O30=""),"",$G30-$O30)</x:f>
      </x:c>
      <x:c r="Y30" s="177"/>
    </x:row>
    <x:row r="31">
      <x:c r="A31" s="175"/>
      <x:c r="B31" s="176"/>
      <x:c r="C31" s="176"/>
      <x:c r="D31" s="176"/>
      <x:c r="E31" s="253"/>
      <x:c r="F31" s="223"/>
      <x:c r="G31" s="265" t="str">
        <x:f>IF(OR($E31="",$F31=""),"",$E31*$F31)</x:f>
      </x:c>
      <x:c r="H31" s="241"/>
      <x:c r="I31" s="265" t="str">
        <x:f>IF($G31="","",$G31*$H31)</x:f>
      </x:c>
      <x:c r="J31" s="241"/>
      <x:c r="K31" s="265" t="str">
        <x:f>IF($G31="","",$G31*$J31)</x:f>
      </x:c>
      <x:c r="L31" s="265" t="str">
        <x:f>IF($G31="","",$G31-$I31-$K31)</x:f>
      </x:c>
      <x:c r="M31" s="223"/>
      <x:c r="N31" s="223"/>
      <x:c r="O31" s="265" t="str">
        <x:f>IF($L31="","",$L31-$M31-$N31)</x:f>
      </x:c>
      <x:c r="P31" s="223"/>
      <x:c r="Q31" s="265" t="str">
        <x:f>IF(OR($E31="",$P31=""),"",$E31*$P31)</x:f>
      </x:c>
      <x:c r="R31" s="223"/>
      <x:c r="S31" s="265" t="str">
        <x:f>IF($Q31="","",$Q31-$R31)</x:f>
      </x:c>
      <x:c r="T31" s="265" t="str">
        <x:f>IF(OR($L31="",$Q31=""),"",$L31-$Q31)</x:f>
      </x:c>
      <x:c r="U31" s="271" t="str">
        <x:f>IFERROR($T31/$L31,"")</x:f>
      </x:c>
      <x:c r="V31" s="265" t="str">
        <x:f>IF(OR($O31="",$S31=""),"",$O31-$S31)</x:f>
      </x:c>
      <x:c r="W31" s="271" t="str">
        <x:f>IFERROR($V31/$O31,"")</x:f>
      </x:c>
      <x:c r="X31" s="265" t="str">
        <x:f>IF(OR($G31="",$O31=""),"",$G31-$O31)</x:f>
      </x:c>
      <x:c r="Y31" s="177"/>
    </x:row>
    <x:row r="32">
      <x:c r="A32" s="175"/>
      <x:c r="B32" s="176"/>
      <x:c r="C32" s="176"/>
      <x:c r="D32" s="176"/>
      <x:c r="E32" s="253"/>
      <x:c r="F32" s="223"/>
      <x:c r="G32" s="265" t="str">
        <x:f>IF(OR($E32="",$F32=""),"",$E32*$F32)</x:f>
      </x:c>
      <x:c r="H32" s="241"/>
      <x:c r="I32" s="265" t="str">
        <x:f>IF($G32="","",$G32*$H32)</x:f>
      </x:c>
      <x:c r="J32" s="241"/>
      <x:c r="K32" s="265" t="str">
        <x:f>IF($G32="","",$G32*$J32)</x:f>
      </x:c>
      <x:c r="L32" s="265" t="str">
        <x:f>IF($G32="","",$G32-$I32-$K32)</x:f>
      </x:c>
      <x:c r="M32" s="223"/>
      <x:c r="N32" s="223"/>
      <x:c r="O32" s="265" t="str">
        <x:f>IF($L32="","",$L32-$M32-$N32)</x:f>
      </x:c>
      <x:c r="P32" s="223"/>
      <x:c r="Q32" s="265" t="str">
        <x:f>IF(OR($E32="",$P32=""),"",$E32*$P32)</x:f>
      </x:c>
      <x:c r="R32" s="223"/>
      <x:c r="S32" s="265" t="str">
        <x:f>IF($Q32="","",$Q32-$R32)</x:f>
      </x:c>
      <x:c r="T32" s="265" t="str">
        <x:f>IF(OR($L32="",$Q32=""),"",$L32-$Q32)</x:f>
      </x:c>
      <x:c r="U32" s="271" t="str">
        <x:f>IFERROR($T32/$L32,"")</x:f>
      </x:c>
      <x:c r="V32" s="265" t="str">
        <x:f>IF(OR($O32="",$S32=""),"",$O32-$S32)</x:f>
      </x:c>
      <x:c r="W32" s="271" t="str">
        <x:f>IFERROR($V32/$O32,"")</x:f>
      </x:c>
      <x:c r="X32" s="265" t="str">
        <x:f>IF(OR($G32="",$O32=""),"",$G32-$O32)</x:f>
      </x:c>
      <x:c r="Y32" s="177"/>
    </x:row>
    <x:row r="33">
      <x:c r="A33" s="175"/>
      <x:c r="B33" s="176"/>
      <x:c r="C33" s="176"/>
      <x:c r="D33" s="176"/>
      <x:c r="E33" s="253"/>
      <x:c r="F33" s="223"/>
      <x:c r="G33" s="265" t="str">
        <x:f>IF(OR($E33="",$F33=""),"",$E33*$F33)</x:f>
      </x:c>
      <x:c r="H33" s="241"/>
      <x:c r="I33" s="265" t="str">
        <x:f>IF($G33="","",$G33*$H33)</x:f>
      </x:c>
      <x:c r="J33" s="241"/>
      <x:c r="K33" s="265" t="str">
        <x:f>IF($G33="","",$G33*$J33)</x:f>
      </x:c>
      <x:c r="L33" s="265" t="str">
        <x:f>IF($G33="","",$G33-$I33-$K33)</x:f>
      </x:c>
      <x:c r="M33" s="223"/>
      <x:c r="N33" s="223"/>
      <x:c r="O33" s="265" t="str">
        <x:f>IF($L33="","",$L33-$M33-$N33)</x:f>
      </x:c>
      <x:c r="P33" s="223"/>
      <x:c r="Q33" s="265" t="str">
        <x:f>IF(OR($E33="",$P33=""),"",$E33*$P33)</x:f>
      </x:c>
      <x:c r="R33" s="223"/>
      <x:c r="S33" s="265" t="str">
        <x:f>IF($Q33="","",$Q33-$R33)</x:f>
      </x:c>
      <x:c r="T33" s="265" t="str">
        <x:f>IF(OR($L33="",$Q33=""),"",$L33-$Q33)</x:f>
      </x:c>
      <x:c r="U33" s="271" t="str">
        <x:f>IFERROR($T33/$L33,"")</x:f>
      </x:c>
      <x:c r="V33" s="265" t="str">
        <x:f>IF(OR($O33="",$S33=""),"",$O33-$S33)</x:f>
      </x:c>
      <x:c r="W33" s="271" t="str">
        <x:f>IFERROR($V33/$O33,"")</x:f>
      </x:c>
      <x:c r="X33" s="265" t="str">
        <x:f>IF(OR($G33="",$O33=""),"",$G33-$O33)</x:f>
      </x:c>
      <x:c r="Y33" s="177"/>
    </x:row>
    <x:row r="34">
      <x:c r="A34" s="175"/>
      <x:c r="B34" s="176"/>
      <x:c r="C34" s="176"/>
      <x:c r="D34" s="176"/>
      <x:c r="E34" s="253"/>
      <x:c r="F34" s="223"/>
      <x:c r="G34" s="265" t="str">
        <x:f>IF(OR($E34="",$F34=""),"",$E34*$F34)</x:f>
      </x:c>
      <x:c r="H34" s="241"/>
      <x:c r="I34" s="265" t="str">
        <x:f>IF($G34="","",$G34*$H34)</x:f>
      </x:c>
      <x:c r="J34" s="241"/>
      <x:c r="K34" s="265" t="str">
        <x:f>IF($G34="","",$G34*$J34)</x:f>
      </x:c>
      <x:c r="L34" s="265" t="str">
        <x:f>IF($G34="","",$G34-$I34-$K34)</x:f>
      </x:c>
      <x:c r="M34" s="223"/>
      <x:c r="N34" s="223"/>
      <x:c r="O34" s="265" t="str">
        <x:f>IF($L34="","",$L34-$M34-$N34)</x:f>
      </x:c>
      <x:c r="P34" s="223"/>
      <x:c r="Q34" s="265" t="str">
        <x:f>IF(OR($E34="",$P34=""),"",$E34*$P34)</x:f>
      </x:c>
      <x:c r="R34" s="223"/>
      <x:c r="S34" s="265" t="str">
        <x:f>IF($Q34="","",$Q34-$R34)</x:f>
      </x:c>
      <x:c r="T34" s="265" t="str">
        <x:f>IF(OR($L34="",$Q34=""),"",$L34-$Q34)</x:f>
      </x:c>
      <x:c r="U34" s="271" t="str">
        <x:f>IFERROR($T34/$L34,"")</x:f>
      </x:c>
      <x:c r="V34" s="265" t="str">
        <x:f>IF(OR($O34="",$S34=""),"",$O34-$S34)</x:f>
      </x:c>
      <x:c r="W34" s="271" t="str">
        <x:f>IFERROR($V34/$O34,"")</x:f>
      </x:c>
      <x:c r="X34" s="265" t="str">
        <x:f>IF(OR($G34="",$O34=""),"",$G34-$O34)</x:f>
      </x:c>
      <x:c r="Y34" s="177"/>
    </x:row>
    <x:row r="35">
      <x:c r="A35" s="175"/>
      <x:c r="B35" s="176"/>
      <x:c r="C35" s="176"/>
      <x:c r="D35" s="176"/>
      <x:c r="E35" s="253"/>
      <x:c r="F35" s="223"/>
      <x:c r="G35" s="265" t="str">
        <x:f>IF(OR($E35="",$F35=""),"",$E35*$F35)</x:f>
      </x:c>
      <x:c r="H35" s="241"/>
      <x:c r="I35" s="265" t="str">
        <x:f>IF($G35="","",$G35*$H35)</x:f>
      </x:c>
      <x:c r="J35" s="241"/>
      <x:c r="K35" s="265" t="str">
        <x:f>IF($G35="","",$G35*$J35)</x:f>
      </x:c>
      <x:c r="L35" s="265" t="str">
        <x:f>IF($G35="","",$G35-$I35-$K35)</x:f>
      </x:c>
      <x:c r="M35" s="223"/>
      <x:c r="N35" s="223"/>
      <x:c r="O35" s="265" t="str">
        <x:f>IF($L35="","",$L35-$M35-$N35)</x:f>
      </x:c>
      <x:c r="P35" s="223"/>
      <x:c r="Q35" s="265" t="str">
        <x:f>IF(OR($E35="",$P35=""),"",$E35*$P35)</x:f>
      </x:c>
      <x:c r="R35" s="223"/>
      <x:c r="S35" s="265" t="str">
        <x:f>IF($Q35="","",$Q35-$R35)</x:f>
      </x:c>
      <x:c r="T35" s="265" t="str">
        <x:f>IF(OR($L35="",$Q35=""),"",$L35-$Q35)</x:f>
      </x:c>
      <x:c r="U35" s="271" t="str">
        <x:f>IFERROR($T35/$L35,"")</x:f>
      </x:c>
      <x:c r="V35" s="265" t="str">
        <x:f>IF(OR($O35="",$S35=""),"",$O35-$S35)</x:f>
      </x:c>
      <x:c r="W35" s="271" t="str">
        <x:f>IFERROR($V35/$O35,"")</x:f>
      </x:c>
      <x:c r="X35" s="265" t="str">
        <x:f>IF(OR($G35="",$O35=""),"",$G35-$O35)</x:f>
      </x:c>
      <x:c r="Y35" s="177"/>
    </x:row>
    <x:row r="36">
      <x:c r="A36" s="175"/>
      <x:c r="B36" s="176"/>
      <x:c r="C36" s="176"/>
      <x:c r="D36" s="176"/>
      <x:c r="E36" s="253"/>
      <x:c r="F36" s="223"/>
      <x:c r="G36" s="265" t="str">
        <x:f>IF(OR($E36="",$F36=""),"",$E36*$F36)</x:f>
      </x:c>
      <x:c r="H36" s="241"/>
      <x:c r="I36" s="265" t="str">
        <x:f>IF($G36="","",$G36*$H36)</x:f>
      </x:c>
      <x:c r="J36" s="241"/>
      <x:c r="K36" s="265" t="str">
        <x:f>IF($G36="","",$G36*$J36)</x:f>
      </x:c>
      <x:c r="L36" s="265" t="str">
        <x:f>IF($G36="","",$G36-$I36-$K36)</x:f>
      </x:c>
      <x:c r="M36" s="223"/>
      <x:c r="N36" s="223"/>
      <x:c r="O36" s="265" t="str">
        <x:f>IF($L36="","",$L36-$M36-$N36)</x:f>
      </x:c>
      <x:c r="P36" s="223"/>
      <x:c r="Q36" s="265" t="str">
        <x:f>IF(OR($E36="",$P36=""),"",$E36*$P36)</x:f>
      </x:c>
      <x:c r="R36" s="223"/>
      <x:c r="S36" s="265" t="str">
        <x:f>IF($Q36="","",$Q36-$R36)</x:f>
      </x:c>
      <x:c r="T36" s="265" t="str">
        <x:f>IF(OR($L36="",$Q36=""),"",$L36-$Q36)</x:f>
      </x:c>
      <x:c r="U36" s="271" t="str">
        <x:f>IFERROR($T36/$L36,"")</x:f>
      </x:c>
      <x:c r="V36" s="265" t="str">
        <x:f>IF(OR($O36="",$S36=""),"",$O36-$S36)</x:f>
      </x:c>
      <x:c r="W36" s="271" t="str">
        <x:f>IFERROR($V36/$O36,"")</x:f>
      </x:c>
      <x:c r="X36" s="265" t="str">
        <x:f>IF(OR($G36="",$O36=""),"",$G36-$O36)</x:f>
      </x:c>
      <x:c r="Y36" s="177"/>
    </x:row>
    <x:row r="37">
      <x:c r="A37" s="175"/>
      <x:c r="B37" s="176"/>
      <x:c r="C37" s="176"/>
      <x:c r="D37" s="176"/>
      <x:c r="E37" s="253"/>
      <x:c r="F37" s="223"/>
      <x:c r="G37" s="265" t="str">
        <x:f>IF(OR($E37="",$F37=""),"",$E37*$F37)</x:f>
      </x:c>
      <x:c r="H37" s="241"/>
      <x:c r="I37" s="265" t="str">
        <x:f>IF($G37="","",$G37*$H37)</x:f>
      </x:c>
      <x:c r="J37" s="241"/>
      <x:c r="K37" s="265" t="str">
        <x:f>IF($G37="","",$G37*$J37)</x:f>
      </x:c>
      <x:c r="L37" s="265" t="str">
        <x:f>IF($G37="","",$G37-$I37-$K37)</x:f>
      </x:c>
      <x:c r="M37" s="223"/>
      <x:c r="N37" s="223"/>
      <x:c r="O37" s="265" t="str">
        <x:f>IF($L37="","",$L37-$M37-$N37)</x:f>
      </x:c>
      <x:c r="P37" s="223"/>
      <x:c r="Q37" s="265" t="str">
        <x:f>IF(OR($E37="",$P37=""),"",$E37*$P37)</x:f>
      </x:c>
      <x:c r="R37" s="223"/>
      <x:c r="S37" s="265" t="str">
        <x:f>IF($Q37="","",$Q37-$R37)</x:f>
      </x:c>
      <x:c r="T37" s="265" t="str">
        <x:f>IF(OR($L37="",$Q37=""),"",$L37-$Q37)</x:f>
      </x:c>
      <x:c r="U37" s="271" t="str">
        <x:f>IFERROR($T37/$L37,"")</x:f>
      </x:c>
      <x:c r="V37" s="265" t="str">
        <x:f>IF(OR($O37="",$S37=""),"",$O37-$S37)</x:f>
      </x:c>
      <x:c r="W37" s="271" t="str">
        <x:f>IFERROR($V37/$O37,"")</x:f>
      </x:c>
      <x:c r="X37" s="265" t="str">
        <x:f>IF(OR($G37="",$O37=""),"",$G37-$O37)</x:f>
      </x:c>
      <x:c r="Y37" s="177"/>
    </x:row>
    <x:row r="38">
      <x:c r="A38" s="175"/>
      <x:c r="B38" s="176"/>
      <x:c r="C38" s="176"/>
      <x:c r="D38" s="176"/>
      <x:c r="E38" s="253"/>
      <x:c r="F38" s="223"/>
      <x:c r="G38" s="265" t="str">
        <x:f>IF(OR($E38="",$F38=""),"",$E38*$F38)</x:f>
      </x:c>
      <x:c r="H38" s="241"/>
      <x:c r="I38" s="265" t="str">
        <x:f>IF($G38="","",$G38*$H38)</x:f>
      </x:c>
      <x:c r="J38" s="241"/>
      <x:c r="K38" s="265" t="str">
        <x:f>IF($G38="","",$G38*$J38)</x:f>
      </x:c>
      <x:c r="L38" s="265" t="str">
        <x:f>IF($G38="","",$G38-$I38-$K38)</x:f>
      </x:c>
      <x:c r="M38" s="223"/>
      <x:c r="N38" s="223"/>
      <x:c r="O38" s="265" t="str">
        <x:f>IF($L38="","",$L38-$M38-$N38)</x:f>
      </x:c>
      <x:c r="P38" s="223"/>
      <x:c r="Q38" s="265" t="str">
        <x:f>IF(OR($E38="",$P38=""),"",$E38*$P38)</x:f>
      </x:c>
      <x:c r="R38" s="223"/>
      <x:c r="S38" s="265" t="str">
        <x:f>IF($Q38="","",$Q38-$R38)</x:f>
      </x:c>
      <x:c r="T38" s="265" t="str">
        <x:f>IF(OR($L38="",$Q38=""),"",$L38-$Q38)</x:f>
      </x:c>
      <x:c r="U38" s="271" t="str">
        <x:f>IFERROR($T38/$L38,"")</x:f>
      </x:c>
      <x:c r="V38" s="265" t="str">
        <x:f>IF(OR($O38="",$S38=""),"",$O38-$S38)</x:f>
      </x:c>
      <x:c r="W38" s="271" t="str">
        <x:f>IFERROR($V38/$O38,"")</x:f>
      </x:c>
      <x:c r="X38" s="265" t="str">
        <x:f>IF(OR($G38="",$O38=""),"",$G38-$O38)</x:f>
      </x:c>
      <x:c r="Y38" s="177"/>
    </x:row>
    <x:row r="39">
      <x:c r="A39" s="175"/>
      <x:c r="B39" s="176"/>
      <x:c r="C39" s="176"/>
      <x:c r="D39" s="176"/>
      <x:c r="E39" s="253"/>
      <x:c r="F39" s="223"/>
      <x:c r="G39" s="265" t="str">
        <x:f>IF(OR($E39="",$F39=""),"",$E39*$F39)</x:f>
      </x:c>
      <x:c r="H39" s="241"/>
      <x:c r="I39" s="265" t="str">
        <x:f>IF($G39="","",$G39*$H39)</x:f>
      </x:c>
      <x:c r="J39" s="241"/>
      <x:c r="K39" s="265" t="str">
        <x:f>IF($G39="","",$G39*$J39)</x:f>
      </x:c>
      <x:c r="L39" s="265" t="str">
        <x:f>IF($G39="","",$G39-$I39-$K39)</x:f>
      </x:c>
      <x:c r="M39" s="223"/>
      <x:c r="N39" s="223"/>
      <x:c r="O39" s="265" t="str">
        <x:f>IF($L39="","",$L39-$M39-$N39)</x:f>
      </x:c>
      <x:c r="P39" s="223"/>
      <x:c r="Q39" s="265" t="str">
        <x:f>IF(OR($E39="",$P39=""),"",$E39*$P39)</x:f>
      </x:c>
      <x:c r="R39" s="223"/>
      <x:c r="S39" s="265" t="str">
        <x:f>IF($Q39="","",$Q39-$R39)</x:f>
      </x:c>
      <x:c r="T39" s="265" t="str">
        <x:f>IF(OR($L39="",$Q39=""),"",$L39-$Q39)</x:f>
      </x:c>
      <x:c r="U39" s="271" t="str">
        <x:f>IFERROR($T39/$L39,"")</x:f>
      </x:c>
      <x:c r="V39" s="265" t="str">
        <x:f>IF(OR($O39="",$S39=""),"",$O39-$S39)</x:f>
      </x:c>
      <x:c r="W39" s="271" t="str">
        <x:f>IFERROR($V39/$O39,"")</x:f>
      </x:c>
      <x:c r="X39" s="265" t="str">
        <x:f>IF(OR($G39="",$O39=""),"",$G39-$O39)</x:f>
      </x:c>
      <x:c r="Y39" s="177"/>
    </x:row>
    <x:row r="40">
      <x:c r="A40" s="175"/>
      <x:c r="B40" s="176"/>
      <x:c r="C40" s="176"/>
      <x:c r="D40" s="176"/>
      <x:c r="E40" s="253"/>
      <x:c r="F40" s="223"/>
      <x:c r="G40" s="265" t="str">
        <x:f>IF(OR($E40="",$F40=""),"",$E40*$F40)</x:f>
      </x:c>
      <x:c r="H40" s="241"/>
      <x:c r="I40" s="265" t="str">
        <x:f>IF($G40="","",$G40*$H40)</x:f>
      </x:c>
      <x:c r="J40" s="241"/>
      <x:c r="K40" s="265" t="str">
        <x:f>IF($G40="","",$G40*$J40)</x:f>
      </x:c>
      <x:c r="L40" s="265" t="str">
        <x:f>IF($G40="","",$G40-$I40-$K40)</x:f>
      </x:c>
      <x:c r="M40" s="223"/>
      <x:c r="N40" s="223"/>
      <x:c r="O40" s="265" t="str">
        <x:f>IF($L40="","",$L40-$M40-$N40)</x:f>
      </x:c>
      <x:c r="P40" s="223"/>
      <x:c r="Q40" s="265" t="str">
        <x:f>IF(OR($E40="",$P40=""),"",$E40*$P40)</x:f>
      </x:c>
      <x:c r="R40" s="223"/>
      <x:c r="S40" s="265" t="str">
        <x:f>IF($Q40="","",$Q40-$R40)</x:f>
      </x:c>
      <x:c r="T40" s="265" t="str">
        <x:f>IF(OR($L40="",$Q40=""),"",$L40-$Q40)</x:f>
      </x:c>
      <x:c r="U40" s="271" t="str">
        <x:f>IFERROR($T40/$L40,"")</x:f>
      </x:c>
      <x:c r="V40" s="265" t="str">
        <x:f>IF(OR($O40="",$S40=""),"",$O40-$S40)</x:f>
      </x:c>
      <x:c r="W40" s="271" t="str">
        <x:f>IFERROR($V40/$O40,"")</x:f>
      </x:c>
      <x:c r="X40" s="265" t="str">
        <x:f>IF(OR($G40="",$O40=""),"",$G40-$O40)</x:f>
      </x:c>
      <x:c r="Y40" s="177"/>
    </x:row>
    <x:row r="41">
      <x:c r="A41" s="175"/>
      <x:c r="B41" s="176"/>
      <x:c r="C41" s="176"/>
      <x:c r="D41" s="176"/>
      <x:c r="E41" s="253"/>
      <x:c r="F41" s="223"/>
      <x:c r="G41" s="265" t="str">
        <x:f>IF(OR($E41="",$F41=""),"",$E41*$F41)</x:f>
      </x:c>
      <x:c r="H41" s="241"/>
      <x:c r="I41" s="265" t="str">
        <x:f>IF($G41="","",$G41*$H41)</x:f>
      </x:c>
      <x:c r="J41" s="241"/>
      <x:c r="K41" s="265" t="str">
        <x:f>IF($G41="","",$G41*$J41)</x:f>
      </x:c>
      <x:c r="L41" s="265" t="str">
        <x:f>IF($G41="","",$G41-$I41-$K41)</x:f>
      </x:c>
      <x:c r="M41" s="223"/>
      <x:c r="N41" s="223"/>
      <x:c r="O41" s="265" t="str">
        <x:f>IF($L41="","",$L41-$M41-$N41)</x:f>
      </x:c>
      <x:c r="P41" s="223"/>
      <x:c r="Q41" s="265" t="str">
        <x:f>IF(OR($E41="",$P41=""),"",$E41*$P41)</x:f>
      </x:c>
      <x:c r="R41" s="223"/>
      <x:c r="S41" s="265" t="str">
        <x:f>IF($Q41="","",$Q41-$R41)</x:f>
      </x:c>
      <x:c r="T41" s="265" t="str">
        <x:f>IF(OR($L41="",$Q41=""),"",$L41-$Q41)</x:f>
      </x:c>
      <x:c r="U41" s="271" t="str">
        <x:f>IFERROR($T41/$L41,"")</x:f>
      </x:c>
      <x:c r="V41" s="265" t="str">
        <x:f>IF(OR($O41="",$S41=""),"",$O41-$S41)</x:f>
      </x:c>
      <x:c r="W41" s="271" t="str">
        <x:f>IFERROR($V41/$O41,"")</x:f>
      </x:c>
      <x:c r="X41" s="265" t="str">
        <x:f>IF(OR($G41="",$O41=""),"",$G41-$O41)</x:f>
      </x:c>
      <x:c r="Y41" s="177"/>
    </x:row>
    <x:row r="42">
      <x:c r="A42" s="175"/>
      <x:c r="B42" s="176"/>
      <x:c r="C42" s="176"/>
      <x:c r="D42" s="176"/>
      <x:c r="E42" s="253"/>
      <x:c r="F42" s="223"/>
      <x:c r="G42" s="265" t="str">
        <x:f>IF(OR($E42="",$F42=""),"",$E42*$F42)</x:f>
      </x:c>
      <x:c r="H42" s="241"/>
      <x:c r="I42" s="265" t="str">
        <x:f>IF($G42="","",$G42*$H42)</x:f>
      </x:c>
      <x:c r="J42" s="241"/>
      <x:c r="K42" s="265" t="str">
        <x:f>IF($G42="","",$G42*$J42)</x:f>
      </x:c>
      <x:c r="L42" s="265" t="str">
        <x:f>IF($G42="","",$G42-$I42-$K42)</x:f>
      </x:c>
      <x:c r="M42" s="223"/>
      <x:c r="N42" s="223"/>
      <x:c r="O42" s="265" t="str">
        <x:f>IF($L42="","",$L42-$M42-$N42)</x:f>
      </x:c>
      <x:c r="P42" s="223"/>
      <x:c r="Q42" s="265" t="str">
        <x:f>IF(OR($E42="",$P42=""),"",$E42*$P42)</x:f>
      </x:c>
      <x:c r="R42" s="223"/>
      <x:c r="S42" s="265" t="str">
        <x:f>IF($Q42="","",$Q42-$R42)</x:f>
      </x:c>
      <x:c r="T42" s="265" t="str">
        <x:f>IF(OR($L42="",$Q42=""),"",$L42-$Q42)</x:f>
      </x:c>
      <x:c r="U42" s="271" t="str">
        <x:f>IFERROR($T42/$L42,"")</x:f>
      </x:c>
      <x:c r="V42" s="265" t="str">
        <x:f>IF(OR($O42="",$S42=""),"",$O42-$S42)</x:f>
      </x:c>
      <x:c r="W42" s="271" t="str">
        <x:f>IFERROR($V42/$O42,"")</x:f>
      </x:c>
      <x:c r="X42" s="265" t="str">
        <x:f>IF(OR($G42="",$O42=""),"",$G42-$O42)</x:f>
      </x:c>
      <x:c r="Y42" s="177"/>
    </x:row>
    <x:row r="43">
      <x:c r="A43" s="175"/>
      <x:c r="B43" s="176"/>
      <x:c r="C43" s="176"/>
      <x:c r="D43" s="176"/>
      <x:c r="E43" s="253"/>
      <x:c r="F43" s="223"/>
      <x:c r="G43" s="265" t="str">
        <x:f>IF(OR($E43="",$F43=""),"",$E43*$F43)</x:f>
      </x:c>
      <x:c r="H43" s="241"/>
      <x:c r="I43" s="265" t="str">
        <x:f>IF($G43="","",$G43*$H43)</x:f>
      </x:c>
      <x:c r="J43" s="241"/>
      <x:c r="K43" s="265" t="str">
        <x:f>IF($G43="","",$G43*$J43)</x:f>
      </x:c>
      <x:c r="L43" s="265" t="str">
        <x:f>IF($G43="","",$G43-$I43-$K43)</x:f>
      </x:c>
      <x:c r="M43" s="223"/>
      <x:c r="N43" s="223"/>
      <x:c r="O43" s="265" t="str">
        <x:f>IF($L43="","",$L43-$M43-$N43)</x:f>
      </x:c>
      <x:c r="P43" s="223"/>
      <x:c r="Q43" s="265" t="str">
        <x:f>IF(OR($E43="",$P43=""),"",$E43*$P43)</x:f>
      </x:c>
      <x:c r="R43" s="223"/>
      <x:c r="S43" s="265" t="str">
        <x:f>IF($Q43="","",$Q43-$R43)</x:f>
      </x:c>
      <x:c r="T43" s="265" t="str">
        <x:f>IF(OR($L43="",$Q43=""),"",$L43-$Q43)</x:f>
      </x:c>
      <x:c r="U43" s="271" t="str">
        <x:f>IFERROR($T43/$L43,"")</x:f>
      </x:c>
      <x:c r="V43" s="265" t="str">
        <x:f>IF(OR($O43="",$S43=""),"",$O43-$S43)</x:f>
      </x:c>
      <x:c r="W43" s="271" t="str">
        <x:f>IFERROR($V43/$O43,"")</x:f>
      </x:c>
      <x:c r="X43" s="265" t="str">
        <x:f>IF(OR($G43="",$O43=""),"",$G43-$O43)</x:f>
      </x:c>
      <x:c r="Y43" s="177"/>
    </x:row>
    <x:row r="44">
      <x:c r="A44" s="175"/>
      <x:c r="B44" s="176"/>
      <x:c r="C44" s="176"/>
      <x:c r="D44" s="176"/>
      <x:c r="E44" s="253"/>
      <x:c r="F44" s="223"/>
      <x:c r="G44" s="265" t="str">
        <x:f>IF(OR($E44="",$F44=""),"",$E44*$F44)</x:f>
      </x:c>
      <x:c r="H44" s="241"/>
      <x:c r="I44" s="265" t="str">
        <x:f>IF($G44="","",$G44*$H44)</x:f>
      </x:c>
      <x:c r="J44" s="241"/>
      <x:c r="K44" s="265" t="str">
        <x:f>IF($G44="","",$G44*$J44)</x:f>
      </x:c>
      <x:c r="L44" s="265" t="str">
        <x:f>IF($G44="","",$G44-$I44-$K44)</x:f>
      </x:c>
      <x:c r="M44" s="223"/>
      <x:c r="N44" s="223"/>
      <x:c r="O44" s="265" t="str">
        <x:f>IF($L44="","",$L44-$M44-$N44)</x:f>
      </x:c>
      <x:c r="P44" s="223"/>
      <x:c r="Q44" s="265" t="str">
        <x:f>IF(OR($E44="",$P44=""),"",$E44*$P44)</x:f>
      </x:c>
      <x:c r="R44" s="223"/>
      <x:c r="S44" s="265" t="str">
        <x:f>IF($Q44="","",$Q44-$R44)</x:f>
      </x:c>
      <x:c r="T44" s="265" t="str">
        <x:f>IF(OR($L44="",$Q44=""),"",$L44-$Q44)</x:f>
      </x:c>
      <x:c r="U44" s="271" t="str">
        <x:f>IFERROR($T44/$L44,"")</x:f>
      </x:c>
      <x:c r="V44" s="265" t="str">
        <x:f>IF(OR($O44="",$S44=""),"",$O44-$S44)</x:f>
      </x:c>
      <x:c r="W44" s="271" t="str">
        <x:f>IFERROR($V44/$O44,"")</x:f>
      </x:c>
      <x:c r="X44" s="265" t="str">
        <x:f>IF(OR($G44="",$O44=""),"",$G44-$O44)</x:f>
      </x:c>
      <x:c r="Y44" s="177"/>
    </x:row>
    <x:row r="45">
      <x:c r="A45" s="175"/>
      <x:c r="B45" s="176"/>
      <x:c r="C45" s="176"/>
      <x:c r="D45" s="176"/>
      <x:c r="E45" s="253"/>
      <x:c r="F45" s="223"/>
      <x:c r="G45" s="265" t="str">
        <x:f>IF(OR($E45="",$F45=""),"",$E45*$F45)</x:f>
      </x:c>
      <x:c r="H45" s="241"/>
      <x:c r="I45" s="265" t="str">
        <x:f>IF($G45="","",$G45*$H45)</x:f>
      </x:c>
      <x:c r="J45" s="241"/>
      <x:c r="K45" s="265" t="str">
        <x:f>IF($G45="","",$G45*$J45)</x:f>
      </x:c>
      <x:c r="L45" s="265" t="str">
        <x:f>IF($G45="","",$G45-$I45-$K45)</x:f>
      </x:c>
      <x:c r="M45" s="223"/>
      <x:c r="N45" s="223"/>
      <x:c r="O45" s="265" t="str">
        <x:f>IF($L45="","",$L45-$M45-$N45)</x:f>
      </x:c>
      <x:c r="P45" s="223"/>
      <x:c r="Q45" s="265" t="str">
        <x:f>IF(OR($E45="",$P45=""),"",$E45*$P45)</x:f>
      </x:c>
      <x:c r="R45" s="223"/>
      <x:c r="S45" s="265" t="str">
        <x:f>IF($Q45="","",$Q45-$R45)</x:f>
      </x:c>
      <x:c r="T45" s="265" t="str">
        <x:f>IF(OR($L45="",$Q45=""),"",$L45-$Q45)</x:f>
      </x:c>
      <x:c r="U45" s="271" t="str">
        <x:f>IFERROR($T45/$L45,"")</x:f>
      </x:c>
      <x:c r="V45" s="265" t="str">
        <x:f>IF(OR($O45="",$S45=""),"",$O45-$S45)</x:f>
      </x:c>
      <x:c r="W45" s="271" t="str">
        <x:f>IFERROR($V45/$O45,"")</x:f>
      </x:c>
      <x:c r="X45" s="265" t="str">
        <x:f>IF(OR($G45="",$O45=""),"",$G45-$O45)</x:f>
      </x:c>
      <x:c r="Y45" s="177"/>
    </x:row>
    <x:row r="46">
      <x:c r="A46" s="175"/>
      <x:c r="B46" s="176"/>
      <x:c r="C46" s="176"/>
      <x:c r="D46" s="176"/>
      <x:c r="E46" s="253"/>
      <x:c r="F46" s="223"/>
      <x:c r="G46" s="265" t="str">
        <x:f>IF(OR($E46="",$F46=""),"",$E46*$F46)</x:f>
      </x:c>
      <x:c r="H46" s="241"/>
      <x:c r="I46" s="265" t="str">
        <x:f>IF($G46="","",$G46*$H46)</x:f>
      </x:c>
      <x:c r="J46" s="241"/>
      <x:c r="K46" s="265" t="str">
        <x:f>IF($G46="","",$G46*$J46)</x:f>
      </x:c>
      <x:c r="L46" s="265" t="str">
        <x:f>IF($G46="","",$G46-$I46-$K46)</x:f>
      </x:c>
      <x:c r="M46" s="223"/>
      <x:c r="N46" s="223"/>
      <x:c r="O46" s="265" t="str">
        <x:f>IF($L46="","",$L46-$M46-$N46)</x:f>
      </x:c>
      <x:c r="P46" s="223"/>
      <x:c r="Q46" s="265" t="str">
        <x:f>IF(OR($E46="",$P46=""),"",$E46*$P46)</x:f>
      </x:c>
      <x:c r="R46" s="223"/>
      <x:c r="S46" s="265" t="str">
        <x:f>IF($Q46="","",$Q46-$R46)</x:f>
      </x:c>
      <x:c r="T46" s="265" t="str">
        <x:f>IF(OR($L46="",$Q46=""),"",$L46-$Q46)</x:f>
      </x:c>
      <x:c r="U46" s="271" t="str">
        <x:f>IFERROR($T46/$L46,"")</x:f>
      </x:c>
      <x:c r="V46" s="265" t="str">
        <x:f>IF(OR($O46="",$S46=""),"",$O46-$S46)</x:f>
      </x:c>
      <x:c r="W46" s="271" t="str">
        <x:f>IFERROR($V46/$O46,"")</x:f>
      </x:c>
      <x:c r="X46" s="265" t="str">
        <x:f>IF(OR($G46="",$O46=""),"",$G46-$O46)</x:f>
      </x:c>
      <x:c r="Y46" s="177"/>
    </x:row>
    <x:row r="47">
      <x:c r="A47" s="175"/>
      <x:c r="B47" s="176"/>
      <x:c r="C47" s="176"/>
      <x:c r="D47" s="176"/>
      <x:c r="E47" s="253"/>
      <x:c r="F47" s="223"/>
      <x:c r="G47" s="265" t="str">
        <x:f>IF(OR($E47="",$F47=""),"",$E47*$F47)</x:f>
      </x:c>
      <x:c r="H47" s="241"/>
      <x:c r="I47" s="265" t="str">
        <x:f>IF($G47="","",$G47*$H47)</x:f>
      </x:c>
      <x:c r="J47" s="241"/>
      <x:c r="K47" s="265" t="str">
        <x:f>IF($G47="","",$G47*$J47)</x:f>
      </x:c>
      <x:c r="L47" s="265" t="str">
        <x:f>IF($G47="","",$G47-$I47-$K47)</x:f>
      </x:c>
      <x:c r="M47" s="223"/>
      <x:c r="N47" s="223"/>
      <x:c r="O47" s="265" t="str">
        <x:f>IF($L47="","",$L47-$M47-$N47)</x:f>
      </x:c>
      <x:c r="P47" s="223"/>
      <x:c r="Q47" s="265" t="str">
        <x:f>IF(OR($E47="",$P47=""),"",$E47*$P47)</x:f>
      </x:c>
      <x:c r="R47" s="223"/>
      <x:c r="S47" s="265" t="str">
        <x:f>IF($Q47="","",$Q47-$R47)</x:f>
      </x:c>
      <x:c r="T47" s="265" t="str">
        <x:f>IF(OR($L47="",$Q47=""),"",$L47-$Q47)</x:f>
      </x:c>
      <x:c r="U47" s="271" t="str">
        <x:f>IFERROR($T47/$L47,"")</x:f>
      </x:c>
      <x:c r="V47" s="265" t="str">
        <x:f>IF(OR($O47="",$S47=""),"",$O47-$S47)</x:f>
      </x:c>
      <x:c r="W47" s="271" t="str">
        <x:f>IFERROR($V47/$O47,"")</x:f>
      </x:c>
      <x:c r="X47" s="265" t="str">
        <x:f>IF(OR($G47="",$O47=""),"",$G47-$O47)</x:f>
      </x:c>
      <x:c r="Y47" s="177"/>
    </x:row>
    <x:row r="48">
      <x:c r="A48" s="175"/>
      <x:c r="B48" s="176"/>
      <x:c r="C48" s="176"/>
      <x:c r="D48" s="176"/>
      <x:c r="E48" s="253"/>
      <x:c r="F48" s="223"/>
      <x:c r="G48" s="265" t="str">
        <x:f>IF(OR($E48="",$F48=""),"",$E48*$F48)</x:f>
      </x:c>
      <x:c r="H48" s="241"/>
      <x:c r="I48" s="265" t="str">
        <x:f>IF($G48="","",$G48*$H48)</x:f>
      </x:c>
      <x:c r="J48" s="241"/>
      <x:c r="K48" s="265" t="str">
        <x:f>IF($G48="","",$G48*$J48)</x:f>
      </x:c>
      <x:c r="L48" s="265" t="str">
        <x:f>IF($G48="","",$G48-$I48-$K48)</x:f>
      </x:c>
      <x:c r="M48" s="223"/>
      <x:c r="N48" s="223"/>
      <x:c r="O48" s="265" t="str">
        <x:f>IF($L48="","",$L48-$M48-$N48)</x:f>
      </x:c>
      <x:c r="P48" s="223"/>
      <x:c r="Q48" s="265" t="str">
        <x:f>IF(OR($E48="",$P48=""),"",$E48*$P48)</x:f>
      </x:c>
      <x:c r="R48" s="223"/>
      <x:c r="S48" s="265" t="str">
        <x:f>IF($Q48="","",$Q48-$R48)</x:f>
      </x:c>
      <x:c r="T48" s="265" t="str">
        <x:f>IF(OR($L48="",$Q48=""),"",$L48-$Q48)</x:f>
      </x:c>
      <x:c r="U48" s="271" t="str">
        <x:f>IFERROR($T48/$L48,"")</x:f>
      </x:c>
      <x:c r="V48" s="265" t="str">
        <x:f>IF(OR($O48="",$S48=""),"",$O48-$S48)</x:f>
      </x:c>
      <x:c r="W48" s="271" t="str">
        <x:f>IFERROR($V48/$O48,"")</x:f>
      </x:c>
      <x:c r="X48" s="265" t="str">
        <x:f>IF(OR($G48="",$O48=""),"",$G48-$O48)</x:f>
      </x:c>
      <x:c r="Y48" s="177"/>
    </x:row>
    <x:row r="49">
      <x:c r="A49" s="175"/>
      <x:c r="B49" s="176"/>
      <x:c r="C49" s="176"/>
      <x:c r="D49" s="176"/>
      <x:c r="E49" s="253"/>
      <x:c r="F49" s="223"/>
      <x:c r="G49" s="265" t="str">
        <x:f>IF(OR($E49="",$F49=""),"",$E49*$F49)</x:f>
      </x:c>
      <x:c r="H49" s="241"/>
      <x:c r="I49" s="265" t="str">
        <x:f>IF($G49="","",$G49*$H49)</x:f>
      </x:c>
      <x:c r="J49" s="241"/>
      <x:c r="K49" s="265" t="str">
        <x:f>IF($G49="","",$G49*$J49)</x:f>
      </x:c>
      <x:c r="L49" s="265" t="str">
        <x:f>IF($G49="","",$G49-$I49-$K49)</x:f>
      </x:c>
      <x:c r="M49" s="223"/>
      <x:c r="N49" s="223"/>
      <x:c r="O49" s="265" t="str">
        <x:f>IF($L49="","",$L49-$M49-$N49)</x:f>
      </x:c>
      <x:c r="P49" s="223"/>
      <x:c r="Q49" s="265" t="str">
        <x:f>IF(OR($E49="",$P49=""),"",$E49*$P49)</x:f>
      </x:c>
      <x:c r="R49" s="223"/>
      <x:c r="S49" s="265" t="str">
        <x:f>IF($Q49="","",$Q49-$R49)</x:f>
      </x:c>
      <x:c r="T49" s="265" t="str">
        <x:f>IF(OR($L49="",$Q49=""),"",$L49-$Q49)</x:f>
      </x:c>
      <x:c r="U49" s="271" t="str">
        <x:f>IFERROR($T49/$L49,"")</x:f>
      </x:c>
      <x:c r="V49" s="265" t="str">
        <x:f>IF(OR($O49="",$S49=""),"",$O49-$S49)</x:f>
      </x:c>
      <x:c r="W49" s="271" t="str">
        <x:f>IFERROR($V49/$O49,"")</x:f>
      </x:c>
      <x:c r="X49" s="265" t="str">
        <x:f>IF(OR($G49="",$O49=""),"",$G49-$O49)</x:f>
      </x:c>
      <x:c r="Y49" s="177"/>
    </x:row>
    <x:row r="50">
      <x:c r="A50" s="175"/>
      <x:c r="B50" s="176"/>
      <x:c r="C50" s="176"/>
      <x:c r="D50" s="176"/>
      <x:c r="E50" s="253"/>
      <x:c r="F50" s="223"/>
      <x:c r="G50" s="265" t="str">
        <x:f>IF(OR($E50="",$F50=""),"",$E50*$F50)</x:f>
      </x:c>
      <x:c r="H50" s="241"/>
      <x:c r="I50" s="265" t="str">
        <x:f>IF($G50="","",$G50*$H50)</x:f>
      </x:c>
      <x:c r="J50" s="241"/>
      <x:c r="K50" s="265" t="str">
        <x:f>IF($G50="","",$G50*$J50)</x:f>
      </x:c>
      <x:c r="L50" s="265" t="str">
        <x:f>IF($G50="","",$G50-$I50-$K50)</x:f>
      </x:c>
      <x:c r="M50" s="223"/>
      <x:c r="N50" s="223"/>
      <x:c r="O50" s="265" t="str">
        <x:f>IF($L50="","",$L50-$M50-$N50)</x:f>
      </x:c>
      <x:c r="P50" s="223"/>
      <x:c r="Q50" s="265" t="str">
        <x:f>IF(OR($E50="",$P50=""),"",$E50*$P50)</x:f>
      </x:c>
      <x:c r="R50" s="223"/>
      <x:c r="S50" s="265" t="str">
        <x:f>IF($Q50="","",$Q50-$R50)</x:f>
      </x:c>
      <x:c r="T50" s="265" t="str">
        <x:f>IF(OR($L50="",$Q50=""),"",$L50-$Q50)</x:f>
      </x:c>
      <x:c r="U50" s="271" t="str">
        <x:f>IFERROR($T50/$L50,"")</x:f>
      </x:c>
      <x:c r="V50" s="265" t="str">
        <x:f>IF(OR($O50="",$S50=""),"",$O50-$S50)</x:f>
      </x:c>
      <x:c r="W50" s="271" t="str">
        <x:f>IFERROR($V50/$O50,"")</x:f>
      </x:c>
      <x:c r="X50" s="265" t="str">
        <x:f>IF(OR($G50="",$O50=""),"",$G50-$O50)</x:f>
      </x:c>
      <x:c r="Y50" s="177"/>
    </x:row>
    <x:row r="51">
      <x:c r="A51" s="175"/>
      <x:c r="B51" s="176"/>
      <x:c r="C51" s="176"/>
      <x:c r="D51" s="176"/>
      <x:c r="E51" s="253"/>
      <x:c r="F51" s="223"/>
      <x:c r="G51" s="265" t="str">
        <x:f>IF(OR($E51="",$F51=""),"",$E51*$F51)</x:f>
      </x:c>
      <x:c r="H51" s="241"/>
      <x:c r="I51" s="265" t="str">
        <x:f>IF($G51="","",$G51*$H51)</x:f>
      </x:c>
      <x:c r="J51" s="241"/>
      <x:c r="K51" s="265" t="str">
        <x:f>IF($G51="","",$G51*$J51)</x:f>
      </x:c>
      <x:c r="L51" s="265" t="str">
        <x:f>IF($G51="","",$G51-$I51-$K51)</x:f>
      </x:c>
      <x:c r="M51" s="223"/>
      <x:c r="N51" s="223"/>
      <x:c r="O51" s="265" t="str">
        <x:f>IF($L51="","",$L51-$M51-$N51)</x:f>
      </x:c>
      <x:c r="P51" s="223"/>
      <x:c r="Q51" s="265" t="str">
        <x:f>IF(OR($E51="",$P51=""),"",$E51*$P51)</x:f>
      </x:c>
      <x:c r="R51" s="223"/>
      <x:c r="S51" s="265" t="str">
        <x:f>IF($Q51="","",$Q51-$R51)</x:f>
      </x:c>
      <x:c r="T51" s="265" t="str">
        <x:f>IF(OR($L51="",$Q51=""),"",$L51-$Q51)</x:f>
      </x:c>
      <x:c r="U51" s="271" t="str">
        <x:f>IFERROR($T51/$L51,"")</x:f>
      </x:c>
      <x:c r="V51" s="265" t="str">
        <x:f>IF(OR($O51="",$S51=""),"",$O51-$S51)</x:f>
      </x:c>
      <x:c r="W51" s="271" t="str">
        <x:f>IFERROR($V51/$O51,"")</x:f>
      </x:c>
      <x:c r="X51" s="265" t="str">
        <x:f>IF(OR($G51="",$O51=""),"",$G51-$O51)</x:f>
      </x:c>
      <x:c r="Y51" s="177"/>
    </x:row>
    <x:row r="52">
      <x:c r="A52" s="175"/>
      <x:c r="B52" s="176"/>
      <x:c r="C52" s="176"/>
      <x:c r="D52" s="176"/>
      <x:c r="E52" s="253"/>
      <x:c r="F52" s="223"/>
      <x:c r="G52" s="265" t="str">
        <x:f>IF(OR($E52="",$F52=""),"",$E52*$F52)</x:f>
      </x:c>
      <x:c r="H52" s="241"/>
      <x:c r="I52" s="265" t="str">
        <x:f>IF($G52="","",$G52*$H52)</x:f>
      </x:c>
      <x:c r="J52" s="241"/>
      <x:c r="K52" s="265" t="str">
        <x:f>IF($G52="","",$G52*$J52)</x:f>
      </x:c>
      <x:c r="L52" s="265" t="str">
        <x:f>IF($G52="","",$G52-$I52-$K52)</x:f>
      </x:c>
      <x:c r="M52" s="223"/>
      <x:c r="N52" s="223"/>
      <x:c r="O52" s="265" t="str">
        <x:f>IF($L52="","",$L52-$M52-$N52)</x:f>
      </x:c>
      <x:c r="P52" s="223"/>
      <x:c r="Q52" s="265" t="str">
        <x:f>IF(OR($E52="",$P52=""),"",$E52*$P52)</x:f>
      </x:c>
      <x:c r="R52" s="223"/>
      <x:c r="S52" s="265" t="str">
        <x:f>IF($Q52="","",$Q52-$R52)</x:f>
      </x:c>
      <x:c r="T52" s="265" t="str">
        <x:f>IF(OR($L52="",$Q52=""),"",$L52-$Q52)</x:f>
      </x:c>
      <x:c r="U52" s="271" t="str">
        <x:f>IFERROR($T52/$L52,"")</x:f>
      </x:c>
      <x:c r="V52" s="265" t="str">
        <x:f>IF(OR($O52="",$S52=""),"",$O52-$S52)</x:f>
      </x:c>
      <x:c r="W52" s="271" t="str">
        <x:f>IFERROR($V52/$O52,"")</x:f>
      </x:c>
      <x:c r="X52" s="265" t="str">
        <x:f>IF(OR($G52="",$O52=""),"",$G52-$O52)</x:f>
      </x:c>
      <x:c r="Y52" s="177"/>
    </x:row>
    <x:row r="53">
      <x:c r="A53" s="175"/>
      <x:c r="B53" s="176"/>
      <x:c r="C53" s="176"/>
      <x:c r="D53" s="176"/>
      <x:c r="E53" s="253"/>
      <x:c r="F53" s="223"/>
      <x:c r="G53" s="265" t="str">
        <x:f>IF(OR($E53="",$F53=""),"",$E53*$F53)</x:f>
      </x:c>
      <x:c r="H53" s="241"/>
      <x:c r="I53" s="265" t="str">
        <x:f>IF($G53="","",$G53*$H53)</x:f>
      </x:c>
      <x:c r="J53" s="241"/>
      <x:c r="K53" s="265" t="str">
        <x:f>IF($G53="","",$G53*$J53)</x:f>
      </x:c>
      <x:c r="L53" s="265" t="str">
        <x:f>IF($G53="","",$G53-$I53-$K53)</x:f>
      </x:c>
      <x:c r="M53" s="223"/>
      <x:c r="N53" s="223"/>
      <x:c r="O53" s="265" t="str">
        <x:f>IF($L53="","",$L53-$M53-$N53)</x:f>
      </x:c>
      <x:c r="P53" s="223"/>
      <x:c r="Q53" s="265" t="str">
        <x:f>IF(OR($E53="",$P53=""),"",$E53*$P53)</x:f>
      </x:c>
      <x:c r="R53" s="223"/>
      <x:c r="S53" s="265" t="str">
        <x:f>IF($Q53="","",$Q53-$R53)</x:f>
      </x:c>
      <x:c r="T53" s="265" t="str">
        <x:f>IF(OR($L53="",$Q53=""),"",$L53-$Q53)</x:f>
      </x:c>
      <x:c r="U53" s="271" t="str">
        <x:f>IFERROR($T53/$L53,"")</x:f>
      </x:c>
      <x:c r="V53" s="265" t="str">
        <x:f>IF(OR($O53="",$S53=""),"",$O53-$S53)</x:f>
      </x:c>
      <x:c r="W53" s="271" t="str">
        <x:f>IFERROR($V53/$O53,"")</x:f>
      </x:c>
      <x:c r="X53" s="265" t="str">
        <x:f>IF(OR($G53="",$O53=""),"",$G53-$O53)</x:f>
      </x:c>
      <x:c r="Y53" s="177"/>
    </x:row>
    <x:row r="54">
      <x:c r="A54" s="175"/>
      <x:c r="B54" s="176"/>
      <x:c r="C54" s="176"/>
      <x:c r="D54" s="176"/>
      <x:c r="E54" s="253"/>
      <x:c r="F54" s="223"/>
      <x:c r="G54" s="265" t="str">
        <x:f>IF(OR($E54="",$F54=""),"",$E54*$F54)</x:f>
      </x:c>
      <x:c r="H54" s="241"/>
      <x:c r="I54" s="265" t="str">
        <x:f>IF($G54="","",$G54*$H54)</x:f>
      </x:c>
      <x:c r="J54" s="241"/>
      <x:c r="K54" s="265" t="str">
        <x:f>IF($G54="","",$G54*$J54)</x:f>
      </x:c>
      <x:c r="L54" s="265" t="str">
        <x:f>IF($G54="","",$G54-$I54-$K54)</x:f>
      </x:c>
      <x:c r="M54" s="223"/>
      <x:c r="N54" s="223"/>
      <x:c r="O54" s="265" t="str">
        <x:f>IF($L54="","",$L54-$M54-$N54)</x:f>
      </x:c>
      <x:c r="P54" s="223"/>
      <x:c r="Q54" s="265" t="str">
        <x:f>IF(OR($E54="",$P54=""),"",$E54*$P54)</x:f>
      </x:c>
      <x:c r="R54" s="223"/>
      <x:c r="S54" s="265" t="str">
        <x:f>IF($Q54="","",$Q54-$R54)</x:f>
      </x:c>
      <x:c r="T54" s="265" t="str">
        <x:f>IF(OR($L54="",$Q54=""),"",$L54-$Q54)</x:f>
      </x:c>
      <x:c r="U54" s="271" t="str">
        <x:f>IFERROR($T54/$L54,"")</x:f>
      </x:c>
      <x:c r="V54" s="265" t="str">
        <x:f>IF(OR($O54="",$S54=""),"",$O54-$S54)</x:f>
      </x:c>
      <x:c r="W54" s="271" t="str">
        <x:f>IFERROR($V54/$O54,"")</x:f>
      </x:c>
      <x:c r="X54" s="265" t="str">
        <x:f>IF(OR($G54="",$O54=""),"",$G54-$O54)</x:f>
      </x:c>
      <x:c r="Y54" s="177"/>
    </x:row>
    <x:row r="55">
      <x:c r="A55" s="175"/>
      <x:c r="B55" s="176"/>
      <x:c r="C55" s="176"/>
      <x:c r="D55" s="176"/>
      <x:c r="E55" s="253"/>
      <x:c r="F55" s="223"/>
      <x:c r="G55" s="265" t="str">
        <x:f>IF(OR($E55="",$F55=""),"",$E55*$F55)</x:f>
      </x:c>
      <x:c r="H55" s="241"/>
      <x:c r="I55" s="265" t="str">
        <x:f>IF($G55="","",$G55*$H55)</x:f>
      </x:c>
      <x:c r="J55" s="241"/>
      <x:c r="K55" s="265" t="str">
        <x:f>IF($G55="","",$G55*$J55)</x:f>
      </x:c>
      <x:c r="L55" s="265" t="str">
        <x:f>IF($G55="","",$G55-$I55-$K55)</x:f>
      </x:c>
      <x:c r="M55" s="223"/>
      <x:c r="N55" s="223"/>
      <x:c r="O55" s="265" t="str">
        <x:f>IF($L55="","",$L55-$M55-$N55)</x:f>
      </x:c>
      <x:c r="P55" s="223"/>
      <x:c r="Q55" s="265" t="str">
        <x:f>IF(OR($E55="",$P55=""),"",$E55*$P55)</x:f>
      </x:c>
      <x:c r="R55" s="223"/>
      <x:c r="S55" s="265" t="str">
        <x:f>IF($Q55="","",$Q55-$R55)</x:f>
      </x:c>
      <x:c r="T55" s="265" t="str">
        <x:f>IF(OR($L55="",$Q55=""),"",$L55-$Q55)</x:f>
      </x:c>
      <x:c r="U55" s="271" t="str">
        <x:f>IFERROR($T55/$L55,"")</x:f>
      </x:c>
      <x:c r="V55" s="265" t="str">
        <x:f>IF(OR($O55="",$S55=""),"",$O55-$S55)</x:f>
      </x:c>
      <x:c r="W55" s="271" t="str">
        <x:f>IFERROR($V55/$O55,"")</x:f>
      </x:c>
      <x:c r="X55" s="265" t="str">
        <x:f>IF(OR($G55="",$O55=""),"",$G55-$O55)</x:f>
      </x:c>
      <x:c r="Y55" s="177"/>
    </x:row>
    <x:row r="56">
      <x:c r="A56" s="175"/>
      <x:c r="B56" s="176"/>
      <x:c r="C56" s="176"/>
      <x:c r="D56" s="176"/>
      <x:c r="E56" s="253"/>
      <x:c r="F56" s="223"/>
      <x:c r="G56" s="265" t="str">
        <x:f>IF(OR($E56="",$F56=""),"",$E56*$F56)</x:f>
      </x:c>
      <x:c r="H56" s="241"/>
      <x:c r="I56" s="265" t="str">
        <x:f>IF($G56="","",$G56*$H56)</x:f>
      </x:c>
      <x:c r="J56" s="241"/>
      <x:c r="K56" s="265" t="str">
        <x:f>IF($G56="","",$G56*$J56)</x:f>
      </x:c>
      <x:c r="L56" s="265" t="str">
        <x:f>IF($G56="","",$G56-$I56-$K56)</x:f>
      </x:c>
      <x:c r="M56" s="223"/>
      <x:c r="N56" s="223"/>
      <x:c r="O56" s="265" t="str">
        <x:f>IF($L56="","",$L56-$M56-$N56)</x:f>
      </x:c>
      <x:c r="P56" s="223"/>
      <x:c r="Q56" s="265" t="str">
        <x:f>IF(OR($E56="",$P56=""),"",$E56*$P56)</x:f>
      </x:c>
      <x:c r="R56" s="223"/>
      <x:c r="S56" s="265" t="str">
        <x:f>IF($Q56="","",$Q56-$R56)</x:f>
      </x:c>
      <x:c r="T56" s="265" t="str">
        <x:f>IF(OR($L56="",$Q56=""),"",$L56-$Q56)</x:f>
      </x:c>
      <x:c r="U56" s="271" t="str">
        <x:f>IFERROR($T56/$L56,"")</x:f>
      </x:c>
      <x:c r="V56" s="265" t="str">
        <x:f>IF(OR($O56="",$S56=""),"",$O56-$S56)</x:f>
      </x:c>
      <x:c r="W56" s="271" t="str">
        <x:f>IFERROR($V56/$O56,"")</x:f>
      </x:c>
      <x:c r="X56" s="265" t="str">
        <x:f>IF(OR($G56="",$O56=""),"",$G56-$O56)</x:f>
      </x:c>
      <x:c r="Y56" s="177"/>
    </x:row>
    <x:row r="57">
      <x:c r="A57" s="175"/>
      <x:c r="B57" s="176"/>
      <x:c r="C57" s="176"/>
      <x:c r="D57" s="176"/>
      <x:c r="E57" s="253"/>
      <x:c r="F57" s="223"/>
      <x:c r="G57" s="265" t="str">
        <x:f>IF(OR($E57="",$F57=""),"",$E57*$F57)</x:f>
      </x:c>
      <x:c r="H57" s="241"/>
      <x:c r="I57" s="265" t="str">
        <x:f>IF($G57="","",$G57*$H57)</x:f>
      </x:c>
      <x:c r="J57" s="241"/>
      <x:c r="K57" s="265" t="str">
        <x:f>IF($G57="","",$G57*$J57)</x:f>
      </x:c>
      <x:c r="L57" s="265" t="str">
        <x:f>IF($G57="","",$G57-$I57-$K57)</x:f>
      </x:c>
      <x:c r="M57" s="223"/>
      <x:c r="N57" s="223"/>
      <x:c r="O57" s="265" t="str">
        <x:f>IF($L57="","",$L57-$M57-$N57)</x:f>
      </x:c>
      <x:c r="P57" s="223"/>
      <x:c r="Q57" s="265" t="str">
        <x:f>IF(OR($E57="",$P57=""),"",$E57*$P57)</x:f>
      </x:c>
      <x:c r="R57" s="223"/>
      <x:c r="S57" s="265" t="str">
        <x:f>IF($Q57="","",$Q57-$R57)</x:f>
      </x:c>
      <x:c r="T57" s="265" t="str">
        <x:f>IF(OR($L57="",$Q57=""),"",$L57-$Q57)</x:f>
      </x:c>
      <x:c r="U57" s="271" t="str">
        <x:f>IFERROR($T57/$L57,"")</x:f>
      </x:c>
      <x:c r="V57" s="265" t="str">
        <x:f>IF(OR($O57="",$S57=""),"",$O57-$S57)</x:f>
      </x:c>
      <x:c r="W57" s="271" t="str">
        <x:f>IFERROR($V57/$O57,"")</x:f>
      </x:c>
      <x:c r="X57" s="265" t="str">
        <x:f>IF(OR($G57="",$O57=""),"",$G57-$O57)</x:f>
      </x:c>
      <x:c r="Y57" s="177"/>
    </x:row>
    <x:row r="58">
      <x:c r="A58" s="178"/>
      <x:c r="B58" s="179"/>
      <x:c r="C58" s="179"/>
      <x:c r="D58" s="179"/>
      <x:c r="E58" s="254"/>
      <x:c r="F58" s="224"/>
      <x:c r="G58" s="266" t="str">
        <x:f>IF(OR($E58="",$F58=""),"",$E58*$F58)</x:f>
      </x:c>
      <x:c r="H58" s="242"/>
      <x:c r="I58" s="266" t="str">
        <x:f>IF($G58="","",$G58*$H58)</x:f>
      </x:c>
      <x:c r="J58" s="242"/>
      <x:c r="K58" s="266" t="str">
        <x:f>IF($G58="","",$G58*$J58)</x:f>
      </x:c>
      <x:c r="L58" s="266" t="str">
        <x:f>IF($G58="","",$G58-$I58-$K58)</x:f>
      </x:c>
      <x:c r="M58" s="224"/>
      <x:c r="N58" s="224"/>
      <x:c r="O58" s="266" t="str">
        <x:f>IF($L58="","",$L58-$M58-$N58)</x:f>
      </x:c>
      <x:c r="P58" s="224"/>
      <x:c r="Q58" s="266" t="str">
        <x:f>IF(OR($E58="",$P58=""),"",$E58*$P58)</x:f>
      </x:c>
      <x:c r="R58" s="224"/>
      <x:c r="S58" s="266" t="str">
        <x:f>IF($Q58="","",$Q58-$R58)</x:f>
      </x:c>
      <x:c r="T58" s="266" t="str">
        <x:f>IF(OR($L58="",$Q58=""),"",$L58-$Q58)</x:f>
      </x:c>
      <x:c r="U58" s="272" t="str">
        <x:f>IFERROR($T58/$L58,"")</x:f>
      </x:c>
      <x:c r="V58" s="266" t="str">
        <x:f>IF(OR($O58="",$S58=""),"",$O58-$S58)</x:f>
      </x:c>
      <x:c r="W58" s="272" t="str">
        <x:f>IFERROR($V58/$O58,"")</x:f>
      </x:c>
      <x:c r="X58" s="266" t="str">
        <x:f>IF(OR($G58="",$O58=""),"",$G58-$O58)</x:f>
      </x:c>
      <x:c r="Y58" s="180"/>
    </x:row>
  </x:sheetData>
  <x:mergeCells>
    <x:mergeCell ref="A1:AD1"/>
    <x:mergeCell ref="A2:AD2"/>
    <x:mergeCell ref="A3:AD3"/>
    <x:mergeCell ref="A5:L5"/>
    <x:mergeCell ref="B6:D6"/>
    <x:mergeCell ref="F6:H6"/>
    <x:mergeCell ref="A7:Y7"/>
    <x:mergeCell ref="AA5:AD5"/>
    <x:mergeCell ref="AB6:AD6"/>
    <x:mergeCell ref="AB7:AD7"/>
    <x:mergeCell ref="AB8:AD8"/>
    <x:mergeCell ref="AB9:AD9"/>
    <x:mergeCell ref="AB10:AD10"/>
    <x:mergeCell ref="AB11:AD11"/>
    <x:mergeCell ref="AB12:AD12"/>
    <x:mergeCell ref="AB13:AD13"/>
    <x:mergeCell ref="AB14:AD14"/>
    <x:mergeCell ref="AB15:AD15"/>
    <x:mergeCell ref="AB16:AD16"/>
    <x:mergeCell ref="AB17:AD17"/>
    <x:mergeCell ref="AB18:AD18"/>
    <x:mergeCell ref="AA20:AD20"/>
    <x:mergeCell ref="AA21:AD21"/>
    <x:mergeCell ref="AA22:AD22"/>
  </x:mergeCells>
  <x:conditionalFormatting sqref="V9:V58">
    <x:cfRule type="cellIs" dxfId="10" priority="1" operator="lessThan">
      <x:formula>0</x:formula>
    </x:cfRule>
  </x:conditionalFormatting>
  <x:conditionalFormatting sqref="W9:W58">
    <x:cfRule type="expression" dxfId="11" priority="2">
      <x:formula>AND($L$6&lt;&gt;"",$W9&lt;$L$6)</x:formula>
    </x:cfRule>
  </x:conditionalFormatting>
  <x:conditionalFormatting sqref="AB18:AD18">
    <x:cfRule type="expression" dxfId="12" priority="3">
      <x:formula>$AB$18="Commercial review required"</x:formula>
    </x:cfRule>
    <x:cfRule type="expression" dxfId="13" priority="4">
      <x:formula>$AB$18="Within configured threshold"</x:formula>
    </x:cfRule>
    <x:cfRule type="expression" dxfId="14" priority="5">
      <x:formula>$AB$18="No threshold set"</x:formula>
    </x:cfRule>
  </x:conditionalFormatting>
  <x:dataValidations count="1">
    <x:dataValidation type="list" sqref="J6">
      <x:formula1>"EUR,USD,GBP,CAD,AUD,CHF,DKK,NOK,SEK"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40fa92d7c3a41e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62" hidden="0" customWidth="1"/>
    <x:col min="3" max="3" width="66" hidden="0" customWidth="1"/>
  </x:cols>
  <x:sheetData>
    <x:row r="1" ht="28" customHeight="1">
      <x:c r="A1" s="5" t="str">
        <x:v>Configure to WIN | B2B Price Waterfall Definitions</x:v>
      </x:c>
      <x:c r="B1" s="5"/>
      <x:c r="C1" s="5"/>
    </x:row>
    <x:row r="2" ht="23" customHeight="1">
      <x:c r="A2" s="14" t="str">
        <x:v>Definitions and calculation guidance for invoice price, pocket price, cost, margin and leakage.</x:v>
      </x:c>
      <x:c r="B2" s="14"/>
      <x:c r="C2" s="14"/>
    </x:row>
    <x:row r="3" ht="30" customHeight="1">
      <x:c r="A3" s="24" t="str">
        <x:v>Use consistent definitions when comparing deals, quote lines or measurement periods.</x:v>
      </x:c>
      <x:c r="B3" s="24"/>
      <x:c r="C3" s="24"/>
    </x:row>
    <x:row r="5" ht="24" customHeight="1">
      <x:c r="A5" s="33" t="str">
        <x:v>Commercial waterfall definitions</x:v>
      </x:c>
      <x:c r="B5" s="33"/>
      <x:c r="C5" s="33"/>
    </x:row>
    <x:row r="6">
      <x:c r="A6" s="81" t="str">
        <x:v>Term</x:v>
      </x:c>
      <x:c r="B6" s="82" t="str">
        <x:v>Definition</x:v>
      </x:c>
      <x:c r="C6" s="83" t="str">
        <x:v>Calculation or measurement guidance</x:v>
      </x:c>
    </x:row>
    <x:row r="7" ht="44" customHeight="1">
      <x:c r="A7" s="284" t="str">
        <x:v>Gross list value</x:v>
      </x:c>
      <x:c r="B7" s="285" t="str">
        <x:v>The total list value before customer-facing deductions.</x:v>
      </x:c>
      <x:c r="C7" s="286" t="str">
        <x:v>List price per unit × quantity.</x:v>
      </x:c>
    </x:row>
    <x:row r="8" ht="44" customHeight="1">
      <x:c r="A8" s="284" t="str">
        <x:v>Customer discount</x:v>
      </x:c>
      <x:c r="B8" s="285" t="str">
        <x:v>A customer-facing discount that reduces invoice price.</x:v>
      </x:c>
      <x:c r="C8" s="286" t="str">
        <x:v>Use entered amount or gross list value × entered percentage.</x:v>
      </x:c>
    </x:row>
    <x:row r="9" ht="44" customHeight="1">
      <x:c r="A9" s="284" t="str">
        <x:v>Promotional discount</x:v>
      </x:c>
      <x:c r="B9" s="285" t="str">
        <x:v>A temporary promotional deduction that reduces invoice price.</x:v>
      </x:c>
      <x:c r="C9" s="286" t="str">
        <x:v>Use entered amount or gross list value × entered percentage.</x:v>
      </x:c>
    </x:row>
    <x:row r="10" ht="44" customHeight="1">
      <x:c r="A10" s="284" t="str">
        <x:v>Invoice price</x:v>
      </x:c>
      <x:c r="B10" s="285" t="str">
        <x:v>The value invoiced before off-invoice concessions and rebates.</x:v>
      </x:c>
      <x:c r="C10" s="286" t="str">
        <x:v>Gross list value − customer discount − promotional discount.</x:v>
      </x:c>
    </x:row>
    <x:row r="11" ht="44" customHeight="1">
      <x:c r="A11" s="284" t="str">
        <x:v>Freight/service concession</x:v>
      </x:c>
      <x:c r="B11" s="285" t="str">
        <x:v>A customer-facing concession for freight, service or similar commercial value.</x:v>
      </x:c>
      <x:c r="C11" s="286" t="str">
        <x:v>Use entered amount or invoice price × entered percentage.</x:v>
      </x:c>
    </x:row>
    <x:row r="12" ht="44" customHeight="1">
      <x:c r="A12" s="284" t="str">
        <x:v>Customer rebate</x:v>
      </x:c>
      <x:c r="B12" s="285" t="str">
        <x:v>A customer-facing off-invoice benefit or credit that reduces pocket price.</x:v>
      </x:c>
      <x:c r="C12" s="286" t="str">
        <x:v>Use entered amount or invoice price × entered percentage.</x:v>
      </x:c>
    </x:row>
    <x:row r="13" ht="44" customHeight="1">
      <x:c r="A13" s="284" t="str">
        <x:v>Pocket price</x:v>
      </x:c>
      <x:c r="B13" s="285" t="str">
        <x:v>The net customer value after invoice discounts, concessions and customer rebates.</x:v>
      </x:c>
      <x:c r="C13" s="286" t="str">
        <x:v>Invoice price − freight/service concession − customer rebate.</x:v>
      </x:c>
    </x:row>
    <x:row r="14" ht="44" customHeight="1">
      <x:c r="A14" s="284" t="str">
        <x:v>Base cost</x:v>
      </x:c>
      <x:c r="B14" s="285" t="str">
        <x:v>The cost before supplier-side incentives.</x:v>
      </x:c>
      <x:c r="C14" s="286" t="str">
        <x:v>Unit cost × quantity.</x:v>
      </x:c>
    </x:row>
    <x:row r="15" ht="44" customHeight="1">
      <x:c r="A15" s="284" t="str">
        <x:v>Vendor incentive</x:v>
      </x:c>
      <x:c r="B15" s="285" t="str">
        <x:v>A supplier-side expected commercial benefit that reduces effective cost or improves deal economics.</x:v>
      </x:c>
      <x:c r="C15" s="286" t="str">
        <x:v>Use entered amount or base cost × entered percentage.</x:v>
      </x:c>
    </x:row>
    <x:row r="16" ht="44" customHeight="1">
      <x:c r="A16" s="284" t="str">
        <x:v>Effective cost</x:v>
      </x:c>
      <x:c r="B16" s="285" t="str">
        <x:v>Base cost after the expected vendor incentive.</x:v>
      </x:c>
      <x:c r="C16" s="286" t="str">
        <x:v>Base cost − vendor incentive.</x:v>
      </x:c>
    </x:row>
    <x:row r="17" ht="44" customHeight="1">
      <x:c r="A17" s="284" t="str">
        <x:v>Front-end gross profit</x:v>
      </x:c>
      <x:c r="B17" s="285" t="str">
        <x:v>Gross profit visible from invoice price and base cost.</x:v>
      </x:c>
      <x:c r="C17" s="286" t="str">
        <x:v>Invoice price − base cost.</x:v>
      </x:c>
    </x:row>
    <x:row r="18" ht="44" customHeight="1">
      <x:c r="A18" s="284" t="str">
        <x:v>Front-end margin</x:v>
      </x:c>
      <x:c r="B18" s="285" t="str">
        <x:v>Front-end gross profit as a share of invoice price.</x:v>
      </x:c>
      <x:c r="C18" s="286" t="str">
        <x:v>Front-end gross profit ÷ invoice price.</x:v>
      </x:c>
    </x:row>
    <x:row r="19" ht="44" customHeight="1">
      <x:c r="A19" s="284" t="str">
        <x:v>Pocket gross profit</x:v>
      </x:c>
      <x:c r="B19" s="285" t="str">
        <x:v>Gross profit after customer-facing deductions and supplier-side incentives.</x:v>
      </x:c>
      <x:c r="C19" s="286" t="str">
        <x:v>Pocket price − effective cost.</x:v>
      </x:c>
    </x:row>
    <x:row r="20" ht="44" customHeight="1">
      <x:c r="A20" s="284" t="str">
        <x:v>Pocket margin</x:v>
      </x:c>
      <x:c r="B20" s="285" t="str">
        <x:v>Pocket gross profit as a share of pocket price.</x:v>
      </x:c>
      <x:c r="C20" s="286" t="str">
        <x:v>Pocket gross profit ÷ pocket price.</x:v>
      </x:c>
    </x:row>
    <x:row r="21" ht="44" customHeight="1">
      <x:c r="A21" s="284" t="str">
        <x:v>Margin leakage</x:v>
      </x:c>
      <x:c r="B21" s="285" t="str">
        <x:v>The monetary reduction from gross list value to pocket price.</x:v>
      </x:c>
      <x:c r="C21" s="286" t="str">
        <x:v>Gross list value − pocket price.</x:v>
      </x:c>
    </x:row>
    <x:row r="22" ht="44" customHeight="1">
      <x:c r="A22" s="284" t="str">
        <x:v>Margin leakage percentage</x:v>
      </x:c>
      <x:c r="B22" s="285" t="str">
        <x:v>Margin leakage as a share of gross list value.</x:v>
      </x:c>
      <x:c r="C22" s="286" t="str">
        <x:v>Margin leakage amount ÷ gross list value.</x:v>
      </x:c>
    </x:row>
    <x:row r="23" ht="44" customHeight="1">
      <x:c r="A23" s="284" t="str">
        <x:v>Margin delta</x:v>
      </x:c>
      <x:c r="B23" s="285" t="str">
        <x:v>The difference between pocket margin and front-end margin.</x:v>
      </x:c>
      <x:c r="C23" s="286" t="str">
        <x:v>Pocket margin % − front-end margin %.</x:v>
      </x:c>
    </x:row>
    <x:row r="24" ht="44" customHeight="1">
      <x:c r="A24" s="284" t="str">
        <x:v>Approval threshold</x:v>
      </x:c>
      <x:c r="B24" s="285" t="str">
        <x:v>A user-configured minimum acceptable pocket margin.</x:v>
      </x:c>
      <x:c r="C24" s="286" t="str">
        <x:v>Leave blank when no threshold should be applied.</x:v>
      </x:c>
    </x:row>
    <x:row r="25" ht="44" customHeight="1">
      <x:c r="A25" s="284" t="str">
        <x:v>Commercial review required</x:v>
      </x:c>
      <x:c r="B25" s="285" t="str">
        <x:v>The approval signal shown when pocket margin is below the configured threshold.</x:v>
      </x:c>
      <x:c r="C25" s="286" t="str">
        <x:v>This is a user-configured policy signal, not an industry benchmark.</x:v>
      </x:c>
    </x:row>
    <x:row r="28" ht="24" customHeight="1">
      <x:c r="A28" s="33" t="str">
        <x:v>Important scope note</x:v>
      </x:c>
      <x:c r="B28" s="33"/>
      <x:c r="C28" s="33"/>
    </x:row>
    <x:row r="29" ht="28" customHeight="1">
      <x:c r="A29" s="307" t="str">
        <x:v>This workbook models expected commercial values. It does not perform rebate settlement, claim submission, accrual accounting, vendor-program administration or financial reconciliation.</x:v>
      </x:c>
      <x:c r="B29" s="308"/>
      <x:c r="C29" s="309"/>
    </x:row>
    <x:row r="30" ht="28" customHeight="1">
      <x:c r="A30" s="310"/>
      <x:c r="B30" s="311"/>
      <x:c r="C30" s="312"/>
    </x:row>
    <x:row r="31" ht="28" customHeight="1">
      <x:c r="A31" s="310"/>
      <x:c r="B31" s="311"/>
      <x:c r="C31" s="312"/>
    </x:row>
    <x:row r="32" ht="28" customHeight="1">
      <x:c r="A32" s="313"/>
      <x:c r="B32" s="314"/>
      <x:c r="C32" s="315"/>
    </x:row>
    <x:row r="34" ht="24" customHeight="1">
      <x:c r="A34" s="33" t="str">
        <x:v>Why this workbook does not provide an industry benchmark</x:v>
      </x:c>
      <x:c r="B34" s="33"/>
      <x:c r="C34" s="33"/>
    </x:row>
    <x:row r="35">
      <x:c r="A35" s="360" t="str">
        <x:v>The workbook analyses the user’s own entered values. Appropriate margins, leakage levels and approval thresholds vary by industry, product mix, customer, channel and commercial policy.</x:v>
      </x:c>
      <x:c r="B35" s="361"/>
      <x:c r="C35" s="362"/>
    </x:row>
    <x:row r="36">
      <x:c r="A36" s="363"/>
      <x:c r="B36" s="364"/>
      <x:c r="C36" s="365"/>
    </x:row>
    <x:row r="37">
      <x:c r="A37" s="363"/>
      <x:c r="B37" s="364"/>
      <x:c r="C37" s="365"/>
    </x:row>
    <x:row r="38">
      <x:c r="A38" s="366"/>
      <x:c r="B38" s="367"/>
      <x:c r="C38" s="368"/>
    </x:row>
    <x:row r="40" ht="24" customHeight="1">
      <x:c r="A40" s="33" t="str">
        <x:v>Configure to WIN resources</x:v>
      </x:c>
      <x:c r="B40" s="33"/>
      <x:c r="C40" s="33"/>
    </x:row>
    <x:row r="41">
      <x:c r="A41" s="485" t="str">
        <x:v>https://configure.win/resources/price-waterfall-calculator</x:v>
      </x:c>
    </x:row>
    <x:row r="42">
      <x:c r="A42" s="485" t="str">
        <x:v>https://configure.win/price-waterfall-software</x:v>
      </x:c>
    </x:row>
    <x:row r="44" ht="24" customHeight="1">
      <x:c r="A44" s="491" t="str">
        <x:v>About this workbook</x:v>
      </x:c>
      <x:c r="B44" s="491"/>
      <x:c r="C44" s="491"/>
    </x:row>
    <x:row r="45" ht="24" customHeight="1">
      <x:c r="A45" s="495" t="str">
        <x:v>Tool</x:v>
      </x:c>
      <x:c r="B45" s="501" t="str">
        <x:v>B2B Price Waterfall Calculator</x:v>
      </x:c>
      <x:c r="C45" s="502"/>
    </x:row>
    <x:row r="46" ht="24" customHeight="1">
      <x:c r="A46" s="495" t="str">
        <x:v>Version</x:v>
      </x:c>
      <x:c r="B46" s="501" t="str">
        <x:v>1.0.0</x:v>
      </x:c>
      <x:c r="C46" s="502"/>
    </x:row>
    <x:row r="47" ht="24" customHeight="1">
      <x:c r="A47" s="495" t="str">
        <x:v>Publisher</x:v>
      </x:c>
      <x:c r="B47" s="501" t="str">
        <x:v>Configure to WIN</x:v>
      </x:c>
      <x:c r="C47" s="502"/>
    </x:row>
    <x:row r="48" ht="24" customHeight="1">
      <x:c r="A48" s="495" t="str">
        <x:v>Official online version</x:v>
      </x:c>
      <x:c r="B48" s="508" t="str">
        <x:v>https://configure.win/resources/price-waterfall-calculator</x:v>
      </x:c>
      <x:c r="C48" s="509"/>
    </x:row>
    <x:row r="49" ht="24" customHeight="1">
      <x:c r="A49" s="495" t="str">
        <x:v>Last updated</x:v>
      </x:c>
      <x:c r="B49" s="501" t="str">
        <x:v>25 July 2026</x:v>
      </x:c>
      <x:c r="C49" s="502"/>
    </x:row>
    <x:row r="50" ht="24" customHeight="1">
      <x:c r="A50" s="495" t="str">
        <x:v>Keywords</x:v>
      </x:c>
      <x:c r="B50" s="501" t="str">
        <x:v>price waterfall, pocket price, pocket margin, margin leakage, B2B pricing, quote pricing</x:v>
      </x:c>
      <x:c r="C50" s="502"/>
    </x:row>
    <x:row r="52" ht="28" customHeight="1">
      <x:c r="A52" s="518" t="str">
        <x:v>This workbook is provided as a practical commercial calculation tool.</x:v>
      </x:c>
      <x:c r="B52" s="519"/>
      <x:c r="C52" s="520"/>
    </x:row>
    <x:row r="53" ht="28" customHeight="1">
      <x:c r="A53" s="518" t="str">
        <x:v>See LICENSE.md in the official GitHub repository for reuse terms.</x:v>
      </x:c>
      <x:c r="B53" s="519"/>
      <x:c r="C53" s="520"/>
    </x:row>
  </x:sheetData>
  <x:mergeCells>
    <x:mergeCell ref="A1:C1"/>
    <x:mergeCell ref="A2:C2"/>
    <x:mergeCell ref="A3:C3"/>
    <x:mergeCell ref="A5:C5"/>
    <x:mergeCell ref="A28:C28"/>
    <x:mergeCell ref="A29:C32"/>
    <x:mergeCell ref="A34:C34"/>
    <x:mergeCell ref="A35:C38"/>
    <x:mergeCell ref="A40:C40"/>
    <x:mergeCell ref="A41:C41"/>
    <x:mergeCell ref="A42:C42"/>
    <x:mergeCell ref="A44:C44"/>
    <x:mergeCell ref="B45:C45"/>
    <x:mergeCell ref="B46:C46"/>
    <x:mergeCell ref="B47:C47"/>
    <x:mergeCell ref="B48:C48"/>
    <x:mergeCell ref="B49:C49"/>
    <x:mergeCell ref="B50:C50"/>
    <x:mergeCell ref="A52:C52"/>
    <x:mergeCell ref="A53:C53"/>
  </x:mergeCells>
  <x:pageMargins left="0.7" right="0.7" top="0.75" bottom="0.75" header="0.3" footer="0.3"/>
  <x:tableParts count="1">
    <x:tablePart xmlns:r="http://schemas.openxmlformats.org/officeDocument/2006/relationships" r:id="R0e21b98f3257400e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18" hidden="0" customWidth="1"/>
    <x:col min="3" max="3" width="17" hidden="0" customWidth="1"/>
    <x:col min="4" max="4" width="18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</x:cols>
  <x:sheetData>
    <x:row r="1" ht="28" customHeight="1">
      <x:c r="A1" s="5" t="str">
        <x:v>Configure to WIN | Worked example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 ht="23" customHeight="1">
      <x:c r="A2" s="14" t="str">
        <x:v>Illustrative example — not customer data, benchmark data, advice or a recommended policy</x:v>
      </x:c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  <x:c r="M2" s="14"/>
      <x:c r="N2" s="14"/>
    </x:row>
    <x:row r="3" ht="30" customHeight="1">
      <x:c r="A3" s="24" t="str">
        <x:v>The fictional example demonstrates the calculation method and reconciles an aggregate price waterfall to three illustrative B2B quote lines.</x:v>
      </x:c>
      <x:c r="B3" s="24"/>
      <x:c r="C3" s="24"/>
      <x:c r="D3" s="24"/>
      <x:c r="E3" s="24"/>
      <x:c r="F3" s="24"/>
      <x:c r="G3" s="24"/>
      <x:c r="H3" s="24"/>
      <x:c r="I3" s="24"/>
      <x:c r="J3" s="24"/>
      <x:c r="K3" s="24"/>
      <x:c r="L3" s="24"/>
      <x:c r="M3" s="24"/>
      <x:c r="N3" s="24"/>
    </x:row>
    <x:row r="5" ht="24" customHeight="1">
      <x:c r="A5" s="33" t="str">
        <x:v>Aggregate inputs</x:v>
      </x:c>
      <x:c r="B5" s="33"/>
      <x:c r="C5" s="33"/>
      <x:c r="D5" s="33"/>
      <x:c r="E5" s="33"/>
      <x:c r="F5" s="33"/>
      <x:c r="H5" s="33" t="str">
        <x:v>Calculation summary</x:v>
      </x:c>
      <x:c r="I5" s="33"/>
      <x:c r="J5" s="33"/>
      <x:c r="K5" s="33"/>
      <x:c r="L5" s="33"/>
      <x:c r="M5" s="33"/>
      <x:c r="N5" s="33"/>
    </x:row>
    <x:row r="6">
      <x:c r="A6" s="40" t="str">
        <x:v>Currency</x:v>
      </x:c>
      <x:c r="C6" s="40" t="str">
        <x:v>EUR</x:v>
      </x:c>
      <x:c r="D6" s="52" t="str">
        <x:v>Selected currency</x:v>
      </x:c>
      <x:c r="E6" s="53"/>
      <x:c r="F6" s="54"/>
      <x:c r="H6" s="100" t="str">
        <x:v>Gross list value</x:v>
      </x:c>
      <x:c r="I6" s="121"/>
      <x:c r="J6" s="121"/>
      <x:c r="K6" s="101"/>
      <x:c r="L6" s="398" t="n">
        <x:f>IF(OR($C$7="",$C$8=""),"",$C$7*$C$8)</x:f>
        <x:v>60000</x:v>
      </x:c>
      <x:c r="M6" s="399"/>
      <x:c r="N6" s="400"/>
    </x:row>
    <x:row r="7">
      <x:c r="A7" s="40" t="str">
        <x:v>List price per unit</x:v>
      </x:c>
      <x:c r="C7" s="396" t="n">
        <x:v>60000</x:v>
      </x:c>
      <x:c r="D7" s="52" t="str">
        <x:v>Illustrative input</x:v>
      </x:c>
      <x:c r="E7" s="53"/>
      <x:c r="F7" s="54"/>
      <x:c r="H7" s="100" t="str">
        <x:v>Invoice price</x:v>
      </x:c>
      <x:c r="I7" s="121"/>
      <x:c r="J7" s="121"/>
      <x:c r="K7" s="101"/>
      <x:c r="L7" s="398" t="n">
        <x:f>IF($L$6="","",$L$6-$C$10-$C$11)</x:f>
        <x:v>53000</x:v>
      </x:c>
      <x:c r="M7" s="399"/>
      <x:c r="N7" s="400"/>
    </x:row>
    <x:row r="8">
      <x:c r="A8" s="40" t="str">
        <x:v>Quantity</x:v>
      </x:c>
      <x:c r="C8" s="68" t="n">
        <x:v>1</x:v>
      </x:c>
      <x:c r="D8" s="52" t="str">
        <x:v>Illustrative input</x:v>
      </x:c>
      <x:c r="E8" s="53"/>
      <x:c r="F8" s="54"/>
      <x:c r="H8" s="100" t="str">
        <x:v>Pocket price</x:v>
      </x:c>
      <x:c r="I8" s="121"/>
      <x:c r="J8" s="121"/>
      <x:c r="K8" s="101"/>
      <x:c r="L8" s="398" t="n">
        <x:f>IF($L$7="","",$L$7-$C$12-$C$13)</x:f>
        <x:v>49000</x:v>
      </x:c>
      <x:c r="M8" s="399"/>
      <x:c r="N8" s="400"/>
    </x:row>
    <x:row r="9">
      <x:c r="A9" s="40" t="str">
        <x:v>Unit cost</x:v>
      </x:c>
      <x:c r="C9" s="396" t="n">
        <x:v>38000</x:v>
      </x:c>
      <x:c r="D9" s="52" t="str">
        <x:v>Before vendor incentive</x:v>
      </x:c>
      <x:c r="E9" s="53"/>
      <x:c r="F9" s="54"/>
      <x:c r="H9" s="100" t="str">
        <x:v>Base cost</x:v>
      </x:c>
      <x:c r="I9" s="121"/>
      <x:c r="J9" s="121"/>
      <x:c r="K9" s="101"/>
      <x:c r="L9" s="398" t="n">
        <x:f>IF(OR($C$9="",$C$8=""),"",$C$9*$C$8)</x:f>
        <x:v>38000</x:v>
      </x:c>
      <x:c r="M9" s="399"/>
      <x:c r="N9" s="400"/>
    </x:row>
    <x:row r="10">
      <x:c r="A10" s="40" t="str">
        <x:v>Customer discount</x:v>
      </x:c>
      <x:c r="C10" s="396" t="n">
        <x:v>5000</x:v>
      </x:c>
      <x:c r="D10" s="52" t="str">
        <x:v>Amount mode</x:v>
      </x:c>
      <x:c r="E10" s="53"/>
      <x:c r="F10" s="54"/>
      <x:c r="H10" s="100" t="str">
        <x:v>Effective cost</x:v>
      </x:c>
      <x:c r="I10" s="121"/>
      <x:c r="J10" s="121"/>
      <x:c r="K10" s="101"/>
      <x:c r="L10" s="398" t="n">
        <x:f>IF($L$9="","",$L$9-$C$14)</x:f>
        <x:v>36500</x:v>
      </x:c>
      <x:c r="M10" s="399"/>
      <x:c r="N10" s="400"/>
    </x:row>
    <x:row r="11">
      <x:c r="A11" s="40" t="str">
        <x:v>Promotional discount</x:v>
      </x:c>
      <x:c r="C11" s="396" t="n">
        <x:v>2000</x:v>
      </x:c>
      <x:c r="D11" s="52" t="str">
        <x:v>Amount mode</x:v>
      </x:c>
      <x:c r="E11" s="53"/>
      <x:c r="F11" s="54"/>
      <x:c r="H11" s="100" t="str">
        <x:v>Front-end gross profit</x:v>
      </x:c>
      <x:c r="I11" s="121"/>
      <x:c r="J11" s="121"/>
      <x:c r="K11" s="101"/>
      <x:c r="L11" s="398" t="n">
        <x:f>IF(OR($L$7="",$L$9=""),"",$L$7-$L$9)</x:f>
        <x:v>15000</x:v>
      </x:c>
      <x:c r="M11" s="399"/>
      <x:c r="N11" s="400"/>
    </x:row>
    <x:row r="12">
      <x:c r="A12" s="40" t="str">
        <x:v>Freight/service concession</x:v>
      </x:c>
      <x:c r="C12" s="396" t="n">
        <x:v>1500</x:v>
      </x:c>
      <x:c r="D12" s="52" t="str">
        <x:v>Amount mode</x:v>
      </x:c>
      <x:c r="E12" s="53"/>
      <x:c r="F12" s="54"/>
      <x:c r="H12" s="100" t="str">
        <x:v>Front-end margin</x:v>
      </x:c>
      <x:c r="I12" s="121"/>
      <x:c r="J12" s="121"/>
      <x:c r="K12" s="101"/>
      <x:c r="L12" s="138" t="n">
        <x:f>IFERROR($L$11/$L$7,"")</x:f>
        <x:v>0.2830188679245283</x:v>
      </x:c>
      <x:c r="M12" s="146"/>
      <x:c r="N12" s="147"/>
    </x:row>
    <x:row r="13">
      <x:c r="A13" s="40" t="str">
        <x:v>Customer rebate</x:v>
      </x:c>
      <x:c r="C13" s="396" t="n">
        <x:v>2500</x:v>
      </x:c>
      <x:c r="D13" s="52" t="str">
        <x:v>Amount mode</x:v>
      </x:c>
      <x:c r="E13" s="53"/>
      <x:c r="F13" s="54"/>
      <x:c r="H13" s="100" t="str">
        <x:v>Pocket gross profit</x:v>
      </x:c>
      <x:c r="I13" s="121"/>
      <x:c r="J13" s="121"/>
      <x:c r="K13" s="101"/>
      <x:c r="L13" s="398" t="n">
        <x:f>IF(OR($L$8="",$L$10=""),"",$L$8-$L$10)</x:f>
        <x:v>12500</x:v>
      </x:c>
      <x:c r="M13" s="399"/>
      <x:c r="N13" s="400"/>
    </x:row>
    <x:row r="14">
      <x:c r="A14" s="40" t="str">
        <x:v>Vendor incentive</x:v>
      </x:c>
      <x:c r="C14" s="396" t="n">
        <x:v>1500</x:v>
      </x:c>
      <x:c r="D14" s="52" t="str">
        <x:v>Amount mode</x:v>
      </x:c>
      <x:c r="E14" s="53"/>
      <x:c r="F14" s="54"/>
      <x:c r="H14" s="100" t="str">
        <x:v>Pocket margin</x:v>
      </x:c>
      <x:c r="I14" s="121"/>
      <x:c r="J14" s="121"/>
      <x:c r="K14" s="101"/>
      <x:c r="L14" s="138" t="n">
        <x:f>IFERROR($L$13/$L$8,"")</x:f>
        <x:v>0.25510204081632654</x:v>
      </x:c>
      <x:c r="M14" s="146"/>
      <x:c r="N14" s="147"/>
    </x:row>
    <x:row r="15">
      <x:c r="A15" s="40" t="str">
        <x:v>Minimum pocket margin</x:v>
      </x:c>
      <x:c r="C15" s="118" t="n">
        <x:v>0.27</x:v>
      </x:c>
      <x:c r="D15" s="52" t="str">
        <x:v>Illustrative policy threshold</x:v>
      </x:c>
      <x:c r="E15" s="53"/>
      <x:c r="F15" s="54"/>
      <x:c r="H15" s="100" t="str">
        <x:v>Margin leakage</x:v>
      </x:c>
      <x:c r="I15" s="121"/>
      <x:c r="J15" s="121"/>
      <x:c r="K15" s="101"/>
      <x:c r="L15" s="398" t="n">
        <x:f>IF(OR($L$6="",$L$8=""),"",$L$6-$L$8)</x:f>
        <x:v>11000</x:v>
      </x:c>
      <x:c r="M15" s="399"/>
      <x:c r="N15" s="400"/>
    </x:row>
    <x:row r="16">
      <x:c r="H16" s="100" t="str">
        <x:v>Margin leakage percentage</x:v>
      </x:c>
      <x:c r="I16" s="121"/>
      <x:c r="J16" s="121"/>
      <x:c r="K16" s="101"/>
      <x:c r="L16" s="138" t="n">
        <x:f>IFERROR($L$15/$L$6,"")</x:f>
        <x:v>0.18333333333333332</x:v>
      </x:c>
      <x:c r="M16" s="146"/>
      <x:c r="N16" s="147"/>
    </x:row>
    <x:row r="17">
      <x:c r="H17" s="100" t="str">
        <x:v>Margin delta</x:v>
      </x:c>
      <x:c r="I17" s="121"/>
      <x:c r="J17" s="121"/>
      <x:c r="K17" s="101"/>
      <x:c r="L17" s="138" t="n">
        <x:f>IF(OR($L$12="",$L$14=""),"",$L$14-$L$12)</x:f>
        <x:v>-0.02791682710820176</x:v>
      </x:c>
      <x:c r="M17" s="146"/>
      <x:c r="N17" s="147"/>
    </x:row>
    <x:row r="18">
      <x:c r="H18" s="100" t="str">
        <x:v>Approval signal</x:v>
      </x:c>
      <x:c r="I18" s="121"/>
      <x:c r="J18" s="121"/>
      <x:c r="K18" s="101"/>
      <x:c r="L18" s="150" t="str">
        <x:f>IF($L$14="","",IF($C$15="","No threshold set",IF($L$14&gt;=$C$15,"Within configured threshold","Commercial review required")))</x:f>
        <x:v>Commercial review required</x:v>
      </x:c>
      <x:c r="M18" s="151"/>
      <x:c r="N18" s="152"/>
    </x:row>
    <x:row r="20" ht="24" customHeight="1">
      <x:c r="A20" s="33" t="str">
        <x:v>Illustrative three-line B2B quote allocation</x:v>
      </x:c>
      <x:c r="B20" s="33"/>
      <x:c r="C20" s="33"/>
      <x:c r="D20" s="33"/>
      <x:c r="E20" s="33"/>
      <x:c r="F20" s="33"/>
      <x:c r="G20" s="33"/>
      <x:c r="H20" s="33"/>
      <x:c r="I20" s="33"/>
      <x:c r="J20" s="33"/>
      <x:c r="K20" s="33"/>
      <x:c r="L20" s="33"/>
      <x:c r="M20" s="33"/>
      <x:c r="N20" s="33"/>
    </x:row>
    <x:row r="21" ht="58" customHeight="1">
      <x:c r="A21" s="81" t="str">
        <x:v>Quote line</x:v>
      </x:c>
      <x:c r="B21" s="82" t="str">
        <x:v>Gross list value</x:v>
      </x:c>
      <x:c r="C21" s="82" t="str">
        <x:v>Customer discount</x:v>
      </x:c>
      <x:c r="D21" s="82" t="str">
        <x:v>Promotional discount</x:v>
      </x:c>
      <x:c r="E21" s="82" t="str">
        <x:v>Invoice price</x:v>
      </x:c>
      <x:c r="F21" s="82" t="str">
        <x:v>Freight/service</x:v>
      </x:c>
      <x:c r="G21" s="82" t="str">
        <x:v>Customer rebate</x:v>
      </x:c>
      <x:c r="H21" s="82" t="str">
        <x:v>Pocket price</x:v>
      </x:c>
      <x:c r="I21" s="82" t="str">
        <x:v>Base cost</x:v>
      </x:c>
      <x:c r="J21" s="82" t="str">
        <x:v>Vendor incentive</x:v>
      </x:c>
      <x:c r="K21" s="82" t="str">
        <x:v>Effective cost</x:v>
      </x:c>
      <x:c r="L21" s="82" t="str">
        <x:v>Front-end GP</x:v>
      </x:c>
      <x:c r="M21" s="82" t="str">
        <x:v>Pocket GP</x:v>
      </x:c>
      <x:c r="N21" s="83" t="str">
        <x:v>Leakage</x:v>
      </x:c>
    </x:row>
    <x:row r="22" ht="24" customHeight="1">
      <x:c r="A22" s="100" t="str">
        <x:v>Hardware bundle</x:v>
      </x:c>
      <x:c r="B22" s="418" t="n">
        <x:v>30000</x:v>
      </x:c>
      <x:c r="C22" s="418" t="n">
        <x:v>3000</x:v>
      </x:c>
      <x:c r="D22" s="418" t="n">
        <x:v>1000</x:v>
      </x:c>
      <x:c r="E22" s="398" t="n">
        <x:f>B22-C22-D22</x:f>
        <x:v>26000</x:v>
      </x:c>
      <x:c r="F22" s="399" t="n">
        <x:v>1000</x:v>
      </x:c>
      <x:c r="G22" s="399" t="n">
        <x:v>1000</x:v>
      </x:c>
      <x:c r="H22" s="399" t="n">
        <x:f>E22-F22-G22</x:f>
        <x:v>24000</x:v>
      </x:c>
      <x:c r="I22" s="399" t="n">
        <x:v>22000</x:v>
      </x:c>
      <x:c r="J22" s="399" t="n">
        <x:v>1000</x:v>
      </x:c>
      <x:c r="K22" s="399" t="n">
        <x:f>I22-J22</x:f>
        <x:v>21000</x:v>
      </x:c>
      <x:c r="L22" s="399" t="n">
        <x:f>E22-I22</x:f>
        <x:v>4000</x:v>
      </x:c>
      <x:c r="M22" s="399" t="n">
        <x:f>H22-K22</x:f>
        <x:v>3000</x:v>
      </x:c>
      <x:c r="N22" s="400" t="n">
        <x:f>B22-H22</x:f>
        <x:v>6000</x:v>
      </x:c>
    </x:row>
    <x:row r="23" ht="24" customHeight="1">
      <x:c r="A23" s="100" t="str">
        <x:v>Annual software subscription</x:v>
      </x:c>
      <x:c r="B23" s="418" t="n">
        <x:v>20000</x:v>
      </x:c>
      <x:c r="C23" s="418" t="n">
        <x:v>1500</x:v>
      </x:c>
      <x:c r="D23" s="418" t="n">
        <x:v>500</x:v>
      </x:c>
      <x:c r="E23" s="398" t="n">
        <x:f>B23-C23-D23</x:f>
        <x:v>18000</x:v>
      </x:c>
      <x:c r="F23" s="399" t="n">
        <x:v>0</x:v>
      </x:c>
      <x:c r="G23" s="399" t="n">
        <x:v>1500</x:v>
      </x:c>
      <x:c r="H23" s="399" t="n">
        <x:f>E23-F23-G23</x:f>
        <x:v>16500</x:v>
      </x:c>
      <x:c r="I23" s="399" t="n">
        <x:v>10000</x:v>
      </x:c>
      <x:c r="J23" s="399" t="n">
        <x:v>500</x:v>
      </x:c>
      <x:c r="K23" s="399" t="n">
        <x:f>I23-J23</x:f>
        <x:v>9500</x:v>
      </x:c>
      <x:c r="L23" s="399" t="n">
        <x:f>E23-I23</x:f>
        <x:v>8000</x:v>
      </x:c>
      <x:c r="M23" s="399" t="n">
        <x:f>H23-K23</x:f>
        <x:v>7000</x:v>
      </x:c>
      <x:c r="N23" s="400" t="n">
        <x:f>B23-H23</x:f>
        <x:v>3500</x:v>
      </x:c>
    </x:row>
    <x:row r="24" ht="24" customHeight="1">
      <x:c r="A24" s="100" t="str">
        <x:v>Implementation service</x:v>
      </x:c>
      <x:c r="B24" s="418" t="n">
        <x:v>10000</x:v>
      </x:c>
      <x:c r="C24" s="418" t="n">
        <x:v>500</x:v>
      </x:c>
      <x:c r="D24" s="418" t="n">
        <x:v>500</x:v>
      </x:c>
      <x:c r="E24" s="398" t="n">
        <x:f>B24-C24-D24</x:f>
        <x:v>9000</x:v>
      </x:c>
      <x:c r="F24" s="399" t="n">
        <x:v>500</x:v>
      </x:c>
      <x:c r="G24" s="399" t="n">
        <x:v>0</x:v>
      </x:c>
      <x:c r="H24" s="399" t="n">
        <x:f>E24-F24-G24</x:f>
        <x:v>8500</x:v>
      </x:c>
      <x:c r="I24" s="399" t="n">
        <x:v>6000</x:v>
      </x:c>
      <x:c r="J24" s="399" t="n">
        <x:v>0</x:v>
      </x:c>
      <x:c r="K24" s="399" t="n">
        <x:f>I24-J24</x:f>
        <x:v>6000</x:v>
      </x:c>
      <x:c r="L24" s="399" t="n">
        <x:f>E24-I24</x:f>
        <x:v>3000</x:v>
      </x:c>
      <x:c r="M24" s="399" t="n">
        <x:f>H24-K24</x:f>
        <x:v>2500</x:v>
      </x:c>
      <x:c r="N24" s="400" t="n">
        <x:f>B24-H24</x:f>
        <x:v>1500</x:v>
      </x:c>
    </x:row>
    <x:row r="25" ht="24" customHeight="1">
      <x:c r="A25" s="408" t="str">
        <x:v>Total</x:v>
      </x:c>
      <x:c r="B25" s="419" t="n">
        <x:f>SUM(B22:B24)</x:f>
        <x:v>60000</x:v>
      </x:c>
      <x:c r="C25" s="419" t="n">
        <x:f>SUM(C22:C24)</x:f>
        <x:v>5000</x:v>
      </x:c>
      <x:c r="D25" s="419" t="n">
        <x:f>SUM(D22:D24)</x:f>
        <x:v>2000</x:v>
      </x:c>
      <x:c r="E25" s="419" t="n">
        <x:f>SUM(E22:E24)</x:f>
        <x:v>53000</x:v>
      </x:c>
      <x:c r="F25" s="419" t="n">
        <x:f>SUM(F22:F24)</x:f>
        <x:v>1500</x:v>
      </x:c>
      <x:c r="G25" s="419" t="n">
        <x:f>SUM(G22:G24)</x:f>
        <x:v>2500</x:v>
      </x:c>
      <x:c r="H25" s="419" t="n">
        <x:f>SUM(H22:H24)</x:f>
        <x:v>49000</x:v>
      </x:c>
      <x:c r="I25" s="419" t="n">
        <x:f>SUM(I22:I24)</x:f>
        <x:v>38000</x:v>
      </x:c>
      <x:c r="J25" s="419" t="n">
        <x:f>SUM(J22:J24)</x:f>
        <x:v>1500</x:v>
      </x:c>
      <x:c r="K25" s="419" t="n">
        <x:f>SUM(K22:K24)</x:f>
        <x:v>36500</x:v>
      </x:c>
      <x:c r="L25" s="419" t="n">
        <x:f>SUM(L22:L24)</x:f>
        <x:v>15000</x:v>
      </x:c>
      <x:c r="M25" s="419" t="n">
        <x:f>SUM(M22:M24)</x:f>
        <x:v>12500</x:v>
      </x:c>
      <x:c r="N25" s="420" t="n">
        <x:f>SUM(N22:N24)</x:f>
        <x:v>11000</x:v>
      </x:c>
    </x:row>
    <x:row r="27">
      <x:c r="A27" s="52" t="str">
        <x:f>IF(AND(B25=$L$6,E25=$L$7,H25=$L$8,I25=$L$9,J25=$C$14,K25=$L$10,L25=$L$11,M25=$L$13,N25=$L$15),"Line allocation reconciles exactly to the aggregate example.","Review line allocation: one or more totals do not reconcile.")</x:f>
        <x:v>Line allocation reconciles exactly to the aggregate example.</x:v>
      </x:c>
      <x:c r="B27" s="53"/>
      <x:c r="C27" s="53"/>
      <x:c r="D27" s="53"/>
      <x:c r="E27" s="53"/>
      <x:c r="F27" s="53"/>
      <x:c r="G27" s="53"/>
      <x:c r="H27" s="53"/>
      <x:c r="I27" s="53"/>
      <x:c r="J27" s="53"/>
      <x:c r="K27" s="53"/>
      <x:c r="L27" s="53"/>
      <x:c r="M27" s="53"/>
      <x:c r="N27" s="54"/>
    </x:row>
    <x:row r="29" ht="24" customHeight="1">
      <x:c r="A29" s="33" t="str">
        <x:v>Front-end vs pocket margin</x:v>
      </x:c>
      <x:c r="B29" s="33"/>
      <x:c r="C29" s="33"/>
      <x:c r="D29" s="33"/>
      <x:c r="E29" s="33"/>
      <x:c r="F29" s="33"/>
      <x:c r="H29" s="33" t="str">
        <x:v>Worked-example waterfall</x:v>
      </x:c>
      <x:c r="I29" s="33"/>
      <x:c r="J29" s="33"/>
      <x:c r="K29" s="33"/>
      <x:c r="L29" s="33"/>
      <x:c r="M29" s="33"/>
      <x:c r="N29" s="33"/>
    </x:row>
    <x:row r="45" ht="24" customHeight="1">
      <x:c r="A45" s="33" t="str">
        <x:v>Approval explanation</x:v>
      </x:c>
      <x:c r="B45" s="33"/>
      <x:c r="C45" s="33"/>
      <x:c r="D45" s="33"/>
      <x:c r="E45" s="33"/>
      <x:c r="F45" s="33"/>
      <x:c r="G45" s="33"/>
      <x:c r="H45" s="33"/>
      <x:c r="I45" s="33"/>
      <x:c r="J45" s="33"/>
      <x:c r="K45" s="33"/>
      <x:c r="L45" s="33"/>
      <x:c r="M45" s="33"/>
      <x:c r="N45" s="33"/>
    </x:row>
    <x:row r="46">
      <x:c r="A46" s="456" t="str">
        <x:f>"The signal is triggered because the calculated pocket margin of "&amp;TEXT($L$14,"0.0%")&amp;" is below the illustrative minimum pocket margin of "&amp;TEXT($C$15,"0.0%")&amp;" by "&amp;TEXT(ABS($L$14-$C$15)*100,"0.0")&amp;" percentage points."</x:f>
        <x:v>The signal is triggered because the calculated pocket margin of 25.5% is below the illustrative minimum pocket margin of 27.0% by 1.5 percentage points.</x:v>
      </x:c>
      <x:c r="B46" s="457"/>
      <x:c r="C46" s="457"/>
      <x:c r="D46" s="457"/>
      <x:c r="E46" s="457"/>
      <x:c r="F46" s="457"/>
      <x:c r="G46" s="457"/>
      <x:c r="H46" s="457"/>
      <x:c r="I46" s="457"/>
      <x:c r="J46" s="457"/>
      <x:c r="K46" s="457"/>
      <x:c r="L46" s="457"/>
      <x:c r="M46" s="457"/>
      <x:c r="N46" s="458"/>
    </x:row>
    <x:row r="47">
      <x:c r="A47" s="459"/>
      <x:c r="B47" s="460"/>
      <x:c r="C47" s="460"/>
      <x:c r="D47" s="460"/>
      <x:c r="E47" s="460"/>
      <x:c r="F47" s="460"/>
      <x:c r="G47" s="460"/>
      <x:c r="H47" s="460"/>
      <x:c r="I47" s="460"/>
      <x:c r="J47" s="460"/>
      <x:c r="K47" s="460"/>
      <x:c r="L47" s="460"/>
      <x:c r="M47" s="460"/>
      <x:c r="N47" s="461"/>
    </x:row>
    <x:row r="48">
      <x:c r="A48" s="462"/>
      <x:c r="B48" s="463"/>
      <x:c r="C48" s="463"/>
      <x:c r="D48" s="463"/>
      <x:c r="E48" s="463"/>
      <x:c r="F48" s="463"/>
      <x:c r="G48" s="463"/>
      <x:c r="H48" s="463"/>
      <x:c r="I48" s="463"/>
      <x:c r="J48" s="463"/>
      <x:c r="K48" s="463"/>
      <x:c r="L48" s="463"/>
      <x:c r="M48" s="463"/>
      <x:c r="N48" s="464"/>
    </x:row>
    <x:row r="50" ht="24" customHeight="1">
      <x:c r="A50" s="33" t="str">
        <x:v>Configure to WIN resources</x:v>
      </x:c>
      <x:c r="B50" s="33"/>
      <x:c r="C50" s="33"/>
      <x:c r="D50" s="33"/>
      <x:c r="E50" s="33"/>
      <x:c r="F50" s="33"/>
      <x:c r="G50" s="33"/>
      <x:c r="H50" s="33"/>
      <x:c r="I50" s="33"/>
      <x:c r="J50" s="33"/>
      <x:c r="K50" s="33"/>
      <x:c r="L50" s="33"/>
      <x:c r="M50" s="33"/>
      <x:c r="N50" s="33"/>
    </x:row>
    <x:row r="51">
      <x:c r="A51" s="485" t="str">
        <x:v>https://configure.win/resources/price-waterfall-calculator</x:v>
      </x:c>
    </x:row>
    <x:row r="52">
      <x:c r="A52" s="485" t="str">
        <x:v>https://configure.win/price-waterfall-software</x:v>
      </x:c>
    </x:row>
    <x:row r="53">
      <x:c r="A53" s="81" t="str">
        <x:v>Metric</x:v>
      </x:c>
      <x:c r="B53" s="83" t="str">
        <x:v>Margin</x:v>
      </x:c>
      <x:c r="H53" s="81" t="str">
        <x:v>Stage</x:v>
      </x:c>
      <x:c r="I53" s="82" t="str">
        <x:v>Base</x:v>
      </x:c>
      <x:c r="J53" s="82" t="str">
        <x:v>Increase</x:v>
      </x:c>
      <x:c r="K53" s="82" t="str">
        <x:v>Decrease</x:v>
      </x:c>
      <x:c r="L53" s="82" t="str">
        <x:v>Subtotal</x:v>
      </x:c>
      <x:c r="M53" s="83" t="str">
        <x:v>Final</x:v>
      </x:c>
    </x:row>
    <x:row r="54">
      <x:c r="A54" s="175" t="str">
        <x:v>Front-end margin</x:v>
      </x:c>
      <x:c r="B54" s="486" t="n">
        <x:f>ROUND($L$12*100,1)</x:f>
        <x:v>28.3</x:v>
      </x:c>
      <x:c r="H54" s="100" t="str">
        <x:v>Gross list value</x:v>
      </x:c>
      <x:c r="I54" s="418" t="n">
        <x:v>0</x:v>
      </x:c>
      <x:c r="J54" s="418" t="n">
        <x:v>0</x:v>
      </x:c>
      <x:c r="K54" s="418" t="n">
        <x:v>0</x:v>
      </x:c>
      <x:c r="L54" s="418" t="n">
        <x:f>$L$6</x:f>
        <x:v>60000</x:v>
      </x:c>
      <x:c r="M54" s="444" t="n">
        <x:v>0</x:v>
      </x:c>
    </x:row>
    <x:row r="55">
      <x:c r="A55" s="178" t="str">
        <x:v>Pocket margin</x:v>
      </x:c>
      <x:c r="B55" s="487" t="n">
        <x:f>ROUND($L$14*100,1)</x:f>
        <x:v>25.5</x:v>
      </x:c>
      <x:c r="H55" s="100" t="str">
        <x:v>Customer discount</x:v>
      </x:c>
      <x:c r="I55" s="418" t="n">
        <x:f>$L$6-$C$10</x:f>
        <x:v>55000</x:v>
      </x:c>
      <x:c r="J55" s="418" t="n">
        <x:v>0</x:v>
      </x:c>
      <x:c r="K55" s="418" t="n">
        <x:f>$C$10</x:f>
        <x:v>5000</x:v>
      </x:c>
      <x:c r="L55" s="418" t="n">
        <x:v>0</x:v>
      </x:c>
      <x:c r="M55" s="444" t="n">
        <x:v>0</x:v>
      </x:c>
    </x:row>
    <x:row r="56">
      <x:c r="H56" s="100" t="str">
        <x:v>Promotional discount</x:v>
      </x:c>
      <x:c r="I56" s="418" t="n">
        <x:f>$L$7</x:f>
        <x:v>53000</x:v>
      </x:c>
      <x:c r="J56" s="418" t="n">
        <x:v>0</x:v>
      </x:c>
      <x:c r="K56" s="418" t="n">
        <x:f>$C$11</x:f>
        <x:v>2000</x:v>
      </x:c>
      <x:c r="L56" s="418" t="n">
        <x:v>0</x:v>
      </x:c>
      <x:c r="M56" s="444" t="n">
        <x:v>0</x:v>
      </x:c>
    </x:row>
    <x:row r="57">
      <x:c r="H57" s="100" t="str">
        <x:v>Invoice price</x:v>
      </x:c>
      <x:c r="I57" s="418" t="n">
        <x:v>0</x:v>
      </x:c>
      <x:c r="J57" s="418" t="n">
        <x:v>0</x:v>
      </x:c>
      <x:c r="K57" s="418" t="n">
        <x:v>0</x:v>
      </x:c>
      <x:c r="L57" s="418" t="n">
        <x:f>$L$7</x:f>
        <x:v>53000</x:v>
      </x:c>
      <x:c r="M57" s="444" t="n">
        <x:v>0</x:v>
      </x:c>
    </x:row>
    <x:row r="58">
      <x:c r="H58" s="100" t="str">
        <x:v>Freight/service concession</x:v>
      </x:c>
      <x:c r="I58" s="418" t="n">
        <x:f>$L$7-$C$12</x:f>
        <x:v>51500</x:v>
      </x:c>
      <x:c r="J58" s="418" t="n">
        <x:v>0</x:v>
      </x:c>
      <x:c r="K58" s="418" t="n">
        <x:f>$C$12</x:f>
        <x:v>1500</x:v>
      </x:c>
      <x:c r="L58" s="418" t="n">
        <x:v>0</x:v>
      </x:c>
      <x:c r="M58" s="444" t="n">
        <x:v>0</x:v>
      </x:c>
    </x:row>
    <x:row r="59">
      <x:c r="H59" s="100" t="str">
        <x:v>Customer rebate</x:v>
      </x:c>
      <x:c r="I59" s="418" t="n">
        <x:f>$L$8</x:f>
        <x:v>49000</x:v>
      </x:c>
      <x:c r="J59" s="418" t="n">
        <x:v>0</x:v>
      </x:c>
      <x:c r="K59" s="418" t="n">
        <x:f>$C$13</x:f>
        <x:v>2500</x:v>
      </x:c>
      <x:c r="L59" s="418" t="n">
        <x:v>0</x:v>
      </x:c>
      <x:c r="M59" s="444" t="n">
        <x:v>0</x:v>
      </x:c>
    </x:row>
    <x:row r="60">
      <x:c r="H60" s="100" t="str">
        <x:v>Pocket price</x:v>
      </x:c>
      <x:c r="I60" s="418" t="n">
        <x:v>0</x:v>
      </x:c>
      <x:c r="J60" s="418" t="n">
        <x:v>0</x:v>
      </x:c>
      <x:c r="K60" s="418" t="n">
        <x:v>0</x:v>
      </x:c>
      <x:c r="L60" s="418" t="n">
        <x:f>$L$8</x:f>
        <x:v>49000</x:v>
      </x:c>
      <x:c r="M60" s="444" t="n">
        <x:v>0</x:v>
      </x:c>
    </x:row>
    <x:row r="61">
      <x:c r="H61" s="100" t="str">
        <x:v>Base cost</x:v>
      </x:c>
      <x:c r="I61" s="418" t="n">
        <x:f>$L$8-$L$9</x:f>
        <x:v>11000</x:v>
      </x:c>
      <x:c r="J61" s="418" t="n">
        <x:v>0</x:v>
      </x:c>
      <x:c r="K61" s="418" t="n">
        <x:f>$L$9</x:f>
        <x:v>38000</x:v>
      </x:c>
      <x:c r="L61" s="418" t="n">
        <x:v>0</x:v>
      </x:c>
      <x:c r="M61" s="444" t="n">
        <x:v>0</x:v>
      </x:c>
    </x:row>
    <x:row r="62">
      <x:c r="H62" s="100" t="str">
        <x:v>Vendor incentive</x:v>
      </x:c>
      <x:c r="I62" s="418" t="n">
        <x:f>$L$8-$L$9</x:f>
        <x:v>11000</x:v>
      </x:c>
      <x:c r="J62" s="418" t="n">
        <x:f>$C$14</x:f>
        <x:v>1500</x:v>
      </x:c>
      <x:c r="K62" s="418" t="n">
        <x:v>0</x:v>
      </x:c>
      <x:c r="L62" s="418" t="n">
        <x:v>0</x:v>
      </x:c>
      <x:c r="M62" s="444" t="n">
        <x:v>0</x:v>
      </x:c>
    </x:row>
    <x:row r="63">
      <x:c r="H63" s="100" t="str">
        <x:v>Pocket gross profit</x:v>
      </x:c>
      <x:c r="I63" s="418" t="n">
        <x:v>0</x:v>
      </x:c>
      <x:c r="J63" s="418" t="n">
        <x:v>0</x:v>
      </x:c>
      <x:c r="K63" s="418" t="n">
        <x:v>0</x:v>
      </x:c>
      <x:c r="L63" s="418" t="n">
        <x:v>0</x:v>
      </x:c>
      <x:c r="M63" s="444" t="n">
        <x:f>$L$13</x:f>
        <x:v>12500</x:v>
      </x:c>
    </x:row>
  </x:sheetData>
  <x:mergeCells>
    <x:mergeCell ref="A1:N1"/>
    <x:mergeCell ref="A2:N2"/>
    <x:mergeCell ref="A3:N3"/>
    <x:mergeCell ref="A5:F5"/>
    <x:mergeCell ref="D6:F6"/>
    <x:mergeCell ref="D7:F7"/>
    <x:mergeCell ref="D8:F8"/>
    <x:mergeCell ref="D9:F9"/>
    <x:mergeCell ref="D10:F10"/>
    <x:mergeCell ref="D11:F11"/>
    <x:mergeCell ref="D12:F12"/>
    <x:mergeCell ref="D13:F13"/>
    <x:mergeCell ref="D14:F14"/>
    <x:mergeCell ref="D15:F15"/>
    <x:mergeCell ref="H5:N5"/>
    <x:mergeCell ref="H6:K6"/>
    <x:mergeCell ref="L6:N6"/>
    <x:mergeCell ref="H7:K7"/>
    <x:mergeCell ref="L7:N7"/>
    <x:mergeCell ref="H8:K8"/>
    <x:mergeCell ref="L8:N8"/>
    <x:mergeCell ref="H9:K9"/>
    <x:mergeCell ref="L9:N9"/>
    <x:mergeCell ref="H10:K10"/>
    <x:mergeCell ref="L10:N10"/>
    <x:mergeCell ref="H11:K11"/>
    <x:mergeCell ref="L11:N11"/>
    <x:mergeCell ref="H12:K12"/>
    <x:mergeCell ref="L12:N12"/>
    <x:mergeCell ref="H13:K13"/>
    <x:mergeCell ref="L13:N13"/>
    <x:mergeCell ref="H14:K14"/>
    <x:mergeCell ref="L14:N14"/>
    <x:mergeCell ref="H15:K15"/>
    <x:mergeCell ref="L15:N15"/>
    <x:mergeCell ref="H16:K16"/>
    <x:mergeCell ref="L16:N16"/>
    <x:mergeCell ref="H17:K17"/>
    <x:mergeCell ref="L17:N17"/>
    <x:mergeCell ref="H18:K18"/>
    <x:mergeCell ref="L18:N18"/>
    <x:mergeCell ref="A20:N20"/>
    <x:mergeCell ref="A27:N27"/>
    <x:mergeCell ref="A29:F29"/>
    <x:mergeCell ref="H29:N29"/>
    <x:mergeCell ref="A45:N45"/>
    <x:mergeCell ref="A46:N48"/>
    <x:mergeCell ref="A50:N50"/>
    <x:mergeCell ref="A51:N51"/>
    <x:mergeCell ref="A52:N52"/>
  </x:mergeCells>
  <x:conditionalFormatting sqref="L18:N18">
    <x:cfRule type="expression" dxfId="15" priority="1">
      <x:formula>$L$18="Commercial review required"</x:formula>
    </x:cfRule>
  </x:conditionalFormatting>
  <x:pageMargins left="0.7" right="0.7" top="0.75" bottom="0.75" header="0.3" footer="0.3"/>
  <x:drawing xmlns:r="http://schemas.openxmlformats.org/officeDocument/2006/relationships" r:id="R47e413f71b1a4408"/>
  <x:tableParts count="1">
    <x:tablePart xmlns:r="http://schemas.openxmlformats.org/officeDocument/2006/relationships" r:id="R2a8e9580d7d64d4a"/>
  </x:tableParts>
</x:worksheet>
</file>